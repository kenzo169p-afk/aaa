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Parametros" sheetId="2" state="visible" r:id="rId4"/>
    <sheet name="Meu Escritorio" sheetId="3" state="visible" r:id="rId5"/>
    <sheet name="Calculadora" sheetId="4" state="visible" r:id="rId6"/>
    <sheet name="Cartei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Some TODOS os custos fixos mensais do escritorio, independentemente de quantos clientes atende: salarios e encargos, pro-labore, aluguel, energia, internet, softwares, certificado digital, responsavel tecnico, contabilidade do proprio escritorio e depreciacao. Nao inclua custos variaveis por cliente.</t>
        </r>
      </text>
    </comment>
    <comment ref="B6" authorId="0">
      <text>
        <r>
          <rPr>
            <sz val="10"/>
            <rFont val="Arial"/>
            <family val="2"/>
          </rPr>
          <t xml:space="preserve">Horas efetivamente PRODUTIVAS (faturaveis) entregues por mes, nao as horas de contrato. Ex.: 2 pessoas x 160h = 320h. Desconte ferias, feriados, reunioes internas e ociosidade - use algo entre 70% e 80% da jornada bruta.</t>
        </r>
      </text>
    </comment>
    <comment ref="B7" authorId="0">
      <text>
        <r>
          <rPr>
            <sz val="10"/>
            <rFont val="Arial"/>
            <family val="2"/>
          </rPr>
          <t xml:space="preserve">Percentual de lucro desejado ACIMA do custo da hora. Remunera risco, responsabilidade tecnica e reinvestimento. No setor costuma ficar entre 20% e 40%.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Regime de apuracao ATUAL do cliente. E o maior fator de complexidade: MEI e quase automatico; Simples exige PGDAS; Presumido tem apuracoes trimestrais; Lucro Real exige escrituracao completa, LALUR/LACS e nao cumulatividade.</t>
        </r>
      </text>
    </comment>
    <comment ref="B9" authorId="0">
      <text>
        <r>
          <rPr>
            <sz val="10"/>
            <rFont val="Arial"/>
            <family val="2"/>
          </rPr>
          <t xml:space="preserve">Natureza economica predominante. Industria costuma ser a mais complexa (IPI, custos, estoque); comercio envolve ICMS e ST; servicos giram em torno do ISS. Se for misto, escolha a que gera mais trabalho fiscal.</t>
        </r>
      </text>
    </comment>
    <comment ref="B10" authorId="0">
      <text>
        <r>
          <rPr>
            <sz val="10"/>
            <rFont val="Arial"/>
            <family val="2"/>
          </rPr>
          <t xml:space="preserve">Receita bruta media mensal do cliente (use a media dos ultimos 12 meses). Nao altera a aliquota do cliente aqui - serve para dimensionar movimento, volume de operacoes e responsabilidade tecnica.</t>
        </r>
      </text>
    </comment>
    <comment ref="B11" authorId="0">
      <text>
        <r>
          <rPr>
            <sz val="10"/>
            <rFont val="Arial"/>
            <family val="2"/>
          </rPr>
          <t xml:space="preserve">Empregados com vinculo CLT. Cada um gera folha, eSocial, FGTS, guias, ferias, 13o, rescisao e DCTFWeb. NAO conte socios aqui.</t>
        </r>
      </text>
    </comment>
    <comment ref="B12" authorId="0">
      <text>
        <r>
          <rPr>
            <sz val="10"/>
            <rFont val="Arial"/>
            <family val="2"/>
          </rPr>
          <t xml:space="preserve">Numero de socios. Cada socio implica pro-labore, retencao de INSS, distribuicao de lucros e reflexo no IRPF. Mesmo sem funcionarios ha obrigacoes de folha por causa do pro-labore.</t>
        </r>
      </text>
    </comment>
    <comment ref="B13" authorId="0">
      <text>
        <r>
          <rPr>
            <sz val="10"/>
            <rFont val="Arial"/>
            <family val="2"/>
          </rPr>
          <t xml:space="preserve">Estabelecimentos ALEM da matriz e/ou inscricoes estaduais adicionais que exigem apuracao propria. Endereco sem inscricao nao conta.</t>
        </r>
      </text>
    </comment>
    <comment ref="B14" authorId="0">
      <text>
        <r>
          <rPr>
            <sz val="10"/>
            <rFont val="Arial"/>
            <family val="2"/>
          </rPr>
          <t xml:space="preserve">Faixa aproximada de notas fiscais (entradas + saidas) por mes. Principal determinante do tempo de escrituracao e conciliacao. Na duvida, use a media dos ultimos 3 meses.</t>
        </r>
      </text>
    </comment>
    <comment ref="B17" authorId="0">
      <text>
        <r>
          <rPr>
            <sz val="10"/>
            <rFont val="Arial"/>
            <family val="2"/>
          </rPr>
          <t xml:space="preserve">Marque com X apenas as obrigacoes que ESTE cliente exige alem do padrao do regime. Nao marque o que ja esta embutido no regime basico.</t>
        </r>
      </text>
    </comment>
    <comment ref="B44" authorId="0">
      <text>
        <r>
          <rPr>
            <sz val="10"/>
            <rFont val="Arial"/>
            <family val="2"/>
          </rPr>
          <t xml:space="preserve">Valor mensal que voce pretende cobrar. A planilha compara com o piso de custo e com o valor recomendado e classifica automaticamente.</t>
        </r>
      </text>
    </comment>
  </commentList>
</comments>
</file>

<file path=xl/sharedStrings.xml><?xml version="1.0" encoding="utf-8"?>
<sst xmlns="http://schemas.openxmlformats.org/spreadsheetml/2006/main" count="230" uniqueCount="202">
  <si>
    <t xml:space="preserve">CALCULADORA DE HONORARIOS CONTABEIS</t>
  </si>
  <si>
    <t xml:space="preserve">empreendedorweb.online  -  motor de calculo conforme NBC PG 01 e Res. CFC 1.590/2020</t>
  </si>
  <si>
    <t xml:space="preserve">COMO USAR</t>
  </si>
  <si>
    <t xml:space="preserve">1. Aba Meu Escritorio</t>
  </si>
  <si>
    <t xml:space="preserve">Preencha o custo fixo mensal, as horas produtivas da equipe e a margem desejada. A planilha calcula o custo da sua hora e a sua hora tecnica. Faca isso UMA vez - vale para todos os clientes.</t>
  </si>
  <si>
    <t xml:space="preserve">2. Aba Calculadora</t>
  </si>
  <si>
    <t xml:space="preserve">Preencha o perfil de UM cliente. O resultado mostra o piso de custo, o honorario recomendado e a composicao das horas.</t>
  </si>
  <si>
    <t xml:space="preserve">3. Aba Carteira</t>
  </si>
  <si>
    <t xml:space="preserve">Lance ate 40 clientes de uma vez para ver quais estao abaixo do piso e quanto voce deixa de faturar.</t>
  </si>
  <si>
    <t xml:space="preserve">4. Aba Parametros</t>
  </si>
  <si>
    <t xml:space="preserve">Ajuste as horas de cada regime, obrigacao e servico avulso conforme a realidade do seu escritorio.</t>
  </si>
  <si>
    <t xml:space="preserve">LEGENDA DE CORES</t>
  </si>
  <si>
    <t xml:space="preserve">Celula amarela / azul</t>
  </si>
  <si>
    <t xml:space="preserve">VOCE PREENCHE. Sao as unicas celulas que devem ser editadas.</t>
  </si>
  <si>
    <t xml:space="preserve">Texto preto</t>
  </si>
  <si>
    <t xml:space="preserve">Formula calculada automaticamente. Nao altere.</t>
  </si>
  <si>
    <t xml:space="preserve">Texto verde</t>
  </si>
  <si>
    <t xml:space="preserve">Valor puxado de outra aba da planilha.</t>
  </si>
  <si>
    <t xml:space="preserve">COMO O CALCULO FUNCIONA</t>
  </si>
  <si>
    <t xml:space="preserve">Custo da hora</t>
  </si>
  <si>
    <t xml:space="preserve">Custo fixo mensal / horas produtivas do mes. Quanto custa manter o escritorio aberto por uma hora.</t>
  </si>
  <si>
    <t xml:space="preserve">Hora tecnica</t>
  </si>
  <si>
    <t xml:space="preserve">Custo da hora x (1 + margem). E o valor que voce precisa cobrar por hora para ter lucro.</t>
  </si>
  <si>
    <t xml:space="preserve">Horas do cliente</t>
  </si>
  <si>
    <t xml:space="preserve">Soma das horas que aquele cliente consome: regime x atividade + folha + socios + volume fiscal + obrigacoes acessorias + filiais + porte.</t>
  </si>
  <si>
    <t xml:space="preserve">Piso de custo</t>
  </si>
  <si>
    <t xml:space="preserve">Horas do cliente x custo da hora. Cobrar abaixo disso e trabalhar no prejuizo.</t>
  </si>
  <si>
    <t xml:space="preserve">Honorario recomendado</t>
  </si>
  <si>
    <t xml:space="preserve">Horas do cliente x hora tecnica. E o valor sugerido para este perfil.</t>
  </si>
  <si>
    <t xml:space="preserve">BASE NORMATIVA E LIMITES</t>
  </si>
  <si>
    <t xml:space="preserve">Conselhos nao tabelam</t>
  </si>
  <si>
    <t xml:space="preserve">O Decreto-Lei 9.295/46 nao trata da mensuracao de honorarios e nao compete aos Conselhos fixar precos. As faixas de referencia de mercado nesta planilha sao sugestivas (sindicato/SESCON) e jamais obrigatorias - preco minimo imposto configuraria cartel.</t>
  </si>
  <si>
    <t xml:space="preserve">NBC PG 01</t>
  </si>
  <si>
    <t xml:space="preserve">O Codigo de Etica determina que o honorario considere relevancia, vulto, complexidade, tempo e responsabilidade - exatamente os elementos calculados aqui. Veda a mercantilizacao e o aviltamento de honorarios.</t>
  </si>
  <si>
    <t xml:space="preserve">Res. CFC 1.590/2020</t>
  </si>
  <si>
    <t xml:space="preserve">Exige contrato escrito discriminando o valor de cada servico prestado. Use o bloco Elementos da Proposta, na aba Calculadora, como base.</t>
  </si>
  <si>
    <t xml:space="preserve">Limite da ferramenta</t>
  </si>
  <si>
    <t xml:space="preserve">Esta planilha e instrumento de apoio a decisao. Nao substitui o julgamento profissional do contador nem a tabela do seu sindicato regional.</t>
  </si>
  <si>
    <t xml:space="preserve">Dica:</t>
  </si>
  <si>
    <t xml:space="preserve">Passe o mouse sobre as celulas com o triangulo vermelho no canto para ler a explicacao completa de cada campo.</t>
  </si>
  <si>
    <t xml:space="preserve">PARAMETROS DO MOTOR DE CALCULO</t>
  </si>
  <si>
    <t xml:space="preserve">Ajuste estes valores conforme a realidade do seu escritorio - todas as abas usam esta pagina</t>
  </si>
  <si>
    <t xml:space="preserve">Todos os numeros abaixo sao referenciais e editaveis. Se a sua operacao gasta mais (ou menos) horas em algum item, altere aqui.</t>
  </si>
  <si>
    <t xml:space="preserve">REGIMES TRIBUTARIOS</t>
  </si>
  <si>
    <t xml:space="preserve">Regime</t>
  </si>
  <si>
    <t xml:space="preserve">Horas/mes</t>
  </si>
  <si>
    <t xml:space="preserve">Ref. min</t>
  </si>
  <si>
    <t xml:space="preserve">Ref. max</t>
  </si>
  <si>
    <t xml:space="preserve">MEI</t>
  </si>
  <si>
    <t xml:space="preserve">Horas recorrentes de apuracao/escrituracao por mes.</t>
  </si>
  <si>
    <t xml:space="preserve">Simples Nacional</t>
  </si>
  <si>
    <t xml:space="preserve">Ref. min/max = faixa sugestiva de mercado (sindicato).</t>
  </si>
  <si>
    <t xml:space="preserve">Lucro Presumido</t>
  </si>
  <si>
    <t xml:space="preserve">NAO e tabela obrigatoria - ver aba Instrucoes.</t>
  </si>
  <si>
    <t xml:space="preserve">Lucro Real</t>
  </si>
  <si>
    <t xml:space="preserve">ATIVIDADE ECONOMICA</t>
  </si>
  <si>
    <t xml:space="preserve">Atividade</t>
  </si>
  <si>
    <t xml:space="preserve">Multiplicador</t>
  </si>
  <si>
    <t xml:space="preserve">Comercio</t>
  </si>
  <si>
    <t xml:space="preserve">Multiplica as horas do regime. Industria pesa mais por IPI,</t>
  </si>
  <si>
    <t xml:space="preserve">Servicos</t>
  </si>
  <si>
    <t xml:space="preserve">controle de producao, custos e estoque.</t>
  </si>
  <si>
    <t xml:space="preserve">Industria</t>
  </si>
  <si>
    <t xml:space="preserve">VOLUME DE DOCUMENTOS FISCAIS</t>
  </si>
  <si>
    <t xml:space="preserve">Faixa</t>
  </si>
  <si>
    <t xml:space="preserve">Ate 20 NF/mes</t>
  </si>
  <si>
    <t xml:space="preserve">Horas adicionais de escrituracao e conciliacao.</t>
  </si>
  <si>
    <t xml:space="preserve">21 a 80 NF/mes</t>
  </si>
  <si>
    <t xml:space="preserve">81 a 200 NF/mes</t>
  </si>
  <si>
    <t xml:space="preserve">201 a 500 NF/mes</t>
  </si>
  <si>
    <t xml:space="preserve">Acima de 500 NF/mes</t>
  </si>
  <si>
    <t xml:space="preserve">OBRIGACOES ACESSORIAS ADICIONAIS</t>
  </si>
  <si>
    <t xml:space="preserve">Obrigacao</t>
  </si>
  <si>
    <t xml:space="preserve">EFD-Contribuicoes</t>
  </si>
  <si>
    <t xml:space="preserve">Contam apenas quando marcadas para o cliente.</t>
  </si>
  <si>
    <t xml:space="preserve">EFD-Reinf</t>
  </si>
  <si>
    <t xml:space="preserve">ECD (Sped Contabil)</t>
  </si>
  <si>
    <t xml:space="preserve">ECF</t>
  </si>
  <si>
    <t xml:space="preserve">DCTFWeb</t>
  </si>
  <si>
    <t xml:space="preserve">ICMS-ST / DIFAL</t>
  </si>
  <si>
    <t xml:space="preserve">Comercio exterior (Imp/Exp)</t>
  </si>
  <si>
    <t xml:space="preserve">PESOS UNITARIOS</t>
  </si>
  <si>
    <t xml:space="preserve">Horas por funcionario (CLT)</t>
  </si>
  <si>
    <t xml:space="preserve">Folha, eSocial, FGTS, ferias, 13o, rescisao.</t>
  </si>
  <si>
    <t xml:space="preserve">Horas por socio</t>
  </si>
  <si>
    <t xml:space="preserve">Pro-labore, INSS, distribuicao de lucros.</t>
  </si>
  <si>
    <t xml:space="preserve">Horas por filial / IE adicional</t>
  </si>
  <si>
    <t xml:space="preserve">Apuracao e obrigacoes estaduais separadas.</t>
  </si>
  <si>
    <t xml:space="preserve">AJUSTE POR PORTE (FATURAMENTO MENSAL)</t>
  </si>
  <si>
    <t xml:space="preserve">Faturamento ate</t>
  </si>
  <si>
    <t xml:space="preserve">Faturamento maior = mais movimento e responsabilidade.</t>
  </si>
  <si>
    <t xml:space="preserve">Busca a PRIMEIRA faixa cujo limite seja &gt;= o faturamento.</t>
  </si>
  <si>
    <t xml:space="preserve">SERVICOS AVULSOS (COBRANCA UNICA)</t>
  </si>
  <si>
    <t xml:space="preserve">Servico</t>
  </si>
  <si>
    <t xml:space="preserve">Valor</t>
  </si>
  <si>
    <t xml:space="preserve">Abertura de empresa</t>
  </si>
  <si>
    <t xml:space="preserve">Res. CFC 1.590/2020: cada servico deve estar</t>
  </si>
  <si>
    <t xml:space="preserve">Alteracao contratual</t>
  </si>
  <si>
    <t xml:space="preserve">discriminado no contrato ou na proposta.</t>
  </si>
  <si>
    <t xml:space="preserve">Baixa / encerramento</t>
  </si>
  <si>
    <t xml:space="preserve">Planejamento tributario</t>
  </si>
  <si>
    <t xml:space="preserve">Declaracao de IRPF</t>
  </si>
  <si>
    <t xml:space="preserve">Parcelamento de debitos</t>
  </si>
  <si>
    <t xml:space="preserve">Defesa em fiscalizacao</t>
  </si>
  <si>
    <t xml:space="preserve">MEU ESCRITORIO</t>
  </si>
  <si>
    <t xml:space="preserve">Descubra quanto custa a sua hora - preencha uma vez, vale para todos os clientes</t>
  </si>
  <si>
    <t xml:space="preserve">CUSTOS E CAPACIDADE</t>
  </si>
  <si>
    <t xml:space="preserve">Custo fixo mensal do escritorio</t>
  </si>
  <si>
    <t xml:space="preserve">Salarios, encargos, pro-labore, aluguel, softwares, certificado digital.</t>
  </si>
  <si>
    <t xml:space="preserve">Horas produtivas da equipe por mes</t>
  </si>
  <si>
    <t xml:space="preserve">Somente horas faturaveis. Ex.: 2 pessoas x 160h = 320h.</t>
  </si>
  <si>
    <t xml:space="preserve">Margem de lucro desejada</t>
  </si>
  <si>
    <t xml:space="preserve">Sobre o custo da hora. No setor, entre 20% e 40%.</t>
  </si>
  <si>
    <t xml:space="preserve">RESULTADO - SUA HORA</t>
  </si>
  <si>
    <t xml:space="preserve">Custo da sua hora</t>
  </si>
  <si>
    <t xml:space="preserve">Custo fixo / horas produtivas. Abaixo disso, prejuizo.</t>
  </si>
  <si>
    <t xml:space="preserve">SUA HORA TECNICA</t>
  </si>
  <si>
    <t xml:space="preserve">Custo da hora + margem. E o valor que sustenta o escritorio.</t>
  </si>
  <si>
    <t xml:space="preserve">Custo anual do escritorio</t>
  </si>
  <si>
    <t xml:space="preserve">Faturamento anual necessario</t>
  </si>
  <si>
    <t xml:space="preserve">Se toda a capacidade produtiva fosse vendida a hora tecnica.</t>
  </si>
  <si>
    <t xml:space="preserve">Atencao:</t>
  </si>
  <si>
    <t xml:space="preserve">Se as horas produtivas estiverem superestimadas, o custo da hora sai baixo demais e todo o resto do calculo fica subdimensionado.</t>
  </si>
  <si>
    <t xml:space="preserve">Ferramenta de apoio a decisao. Os Conselhos de Contabilidade nao tabelam honorarios - os valores sao definidos por voce. Nao substitui o julgamento profissional nem a tabela do sindicato regional.</t>
  </si>
  <si>
    <t xml:space="preserve">CALCULADORA DE HONORARIOS - CLIENTE</t>
  </si>
  <si>
    <t xml:space="preserve">Preencha o perfil do cliente nas celulas amarelas</t>
  </si>
  <si>
    <t xml:space="preserve">IDENTIFICACAO</t>
  </si>
  <si>
    <t xml:space="preserve">Nome do cliente</t>
  </si>
  <si>
    <t xml:space="preserve">Exemplo Comercio Ltda</t>
  </si>
  <si>
    <t xml:space="preserve">Linha de exemplo - substitua pelos dados reais.</t>
  </si>
  <si>
    <t xml:space="preserve">PERFIL DO CLIENTE</t>
  </si>
  <si>
    <t xml:space="preserve">Regime tributario</t>
  </si>
  <si>
    <t xml:space="preserve">Maior fator de complexidade do calculo.</t>
  </si>
  <si>
    <t xml:space="preserve">Atividade economica</t>
  </si>
  <si>
    <t xml:space="preserve">Faturamento mensal medio</t>
  </si>
  <si>
    <t xml:space="preserve">Media dos ultimos 12 meses.</t>
  </si>
  <si>
    <t xml:space="preserve">Funcionarios (CLT)</t>
  </si>
  <si>
    <t xml:space="preserve">Nao inclua socios aqui.</t>
  </si>
  <si>
    <t xml:space="preserve">Socios</t>
  </si>
  <si>
    <t xml:space="preserve">Filiais / IE adicionais</t>
  </si>
  <si>
    <t xml:space="preserve">Volume de documentos fiscais</t>
  </si>
  <si>
    <t xml:space="preserve">Entradas + saidas por mes.</t>
  </si>
  <si>
    <t xml:space="preserve">OBRIGACOES ACESSORIAS ADICIONAIS  (marque X)</t>
  </si>
  <si>
    <t xml:space="preserve">Marcar (X)</t>
  </si>
  <si>
    <t xml:space="preserve">Horas</t>
  </si>
  <si>
    <t xml:space="preserve">COMPOSICAO DAS HORAS MENSAIS</t>
  </si>
  <si>
    <t xml:space="preserve">Componente</t>
  </si>
  <si>
    <t xml:space="preserve">Regime x atividade</t>
  </si>
  <si>
    <t xml:space="preserve">Folha / departamento pessoal</t>
  </si>
  <si>
    <t xml:space="preserve">Socios / pro-labore</t>
  </si>
  <si>
    <t xml:space="preserve">Volume fiscal</t>
  </si>
  <si>
    <t xml:space="preserve">Obrigacoes acessorias</t>
  </si>
  <si>
    <t xml:space="preserve">Porte / movimento</t>
  </si>
  <si>
    <t xml:space="preserve">TOTAL</t>
  </si>
  <si>
    <t xml:space="preserve">RESULTADO</t>
  </si>
  <si>
    <t xml:space="preserve">Piso de custo (nao cobrar abaixo)</t>
  </si>
  <si>
    <t xml:space="preserve">Horas do cliente x custo da sua hora. Abaixo disso = prejuizo.</t>
  </si>
  <si>
    <t xml:space="preserve">HONORARIO MENSAL RECOMENDADO</t>
  </si>
  <si>
    <t xml:space="preserve">Horas do cliente x sua hora tecnica.</t>
  </si>
  <si>
    <t xml:space="preserve">Honorario anual</t>
  </si>
  <si>
    <t xml:space="preserve">Referencia de mercado (sugestiva)</t>
  </si>
  <si>
    <t xml:space="preserve">Faixa de sindicato/SESCON. Sugestiva - nunca obrigatoria.</t>
  </si>
  <si>
    <t xml:space="preserve">CHECAGEM DO SEU PRECO</t>
  </si>
  <si>
    <t xml:space="preserve">Quanto voce pretende cobrar?</t>
  </si>
  <si>
    <t xml:space="preserve">Diagnostico</t>
  </si>
  <si>
    <t xml:space="preserve">Diferenca para o recomendado</t>
  </si>
  <si>
    <t xml:space="preserve">Perda anual se cobrar abaixo</t>
  </si>
  <si>
    <t xml:space="preserve">TOTAL AVULSOS</t>
  </si>
  <si>
    <t xml:space="preserve">ELEMENTOS DA PROPOSTA (PARA O CONTRATO)</t>
  </si>
  <si>
    <t xml:space="preserve">A Res. CFC 1.590/2020 exige contrato escrito discriminando o valor de cada servico. Os itens abaixo justificam tecnicamente o honorario conforme a NBC PG 01.</t>
  </si>
  <si>
    <t xml:space="preserve">Cliente</t>
  </si>
  <si>
    <t xml:space="preserve">Regime / atividade</t>
  </si>
  <si>
    <t xml:space="preserve">Faturamento mensal</t>
  </si>
  <si>
    <t xml:space="preserve">Funcionarios / socios</t>
  </si>
  <si>
    <t xml:space="preserve">Horas tecnicas por mes</t>
  </si>
  <si>
    <t xml:space="preserve">Hora tecnica aplicada</t>
  </si>
  <si>
    <t xml:space="preserve">Honorario mensal</t>
  </si>
  <si>
    <t xml:space="preserve">Servicos avulsos</t>
  </si>
  <si>
    <t xml:space="preserve">CARTEIRA DE CLIENTES</t>
  </si>
  <si>
    <t xml:space="preserve">Lance todos os seus clientes e descubra quais estao abaixo do piso de custo</t>
  </si>
  <si>
    <t xml:space="preserve">Preencha as colunas amarelas. Na coluna Obrigacoes, informe QUANTAS obrigacoes acessorias adicionais o cliente tem (a planilha usa a media de horas das obrigacoes cadastradas).</t>
  </si>
  <si>
    <t xml:space="preserve">Faturamento</t>
  </si>
  <si>
    <t xml:space="preserve">Func.</t>
  </si>
  <si>
    <t xml:space="preserve">Filiais</t>
  </si>
  <si>
    <t xml:space="preserve">Obrig.</t>
  </si>
  <si>
    <t xml:space="preserve">Piso</t>
  </si>
  <si>
    <t xml:space="preserve">Recomendado</t>
  </si>
  <si>
    <t xml:space="preserve">Cobra hoje</t>
  </si>
  <si>
    <t xml:space="preserve">Situacao</t>
  </si>
  <si>
    <t xml:space="preserve">TOTAIS DA CARTEIRA</t>
  </si>
  <si>
    <t xml:space="preserve">DIAGNOSTICO DA CARTEIRA</t>
  </si>
  <si>
    <t xml:space="preserve">Clientes lancados</t>
  </si>
  <si>
    <t xml:space="preserve">Valores negativos em 'Diferenca' indicam quanto voce deixa de faturar na carteira inteira.</t>
  </si>
  <si>
    <t xml:space="preserve">Clientes abaixo do piso de custo</t>
  </si>
  <si>
    <t xml:space="preserve">Ocupacao acima de 100% significa que a demanda ja excede a capacidade produtiva informada.</t>
  </si>
  <si>
    <t xml:space="preserve">Clientes com margem comprimida</t>
  </si>
  <si>
    <t xml:space="preserve">Clientes adequados</t>
  </si>
  <si>
    <t xml:space="preserve">Faturamento mensal atual</t>
  </si>
  <si>
    <t xml:space="preserve">Faturamento mensal recomendado</t>
  </si>
  <si>
    <t xml:space="preserve">Diferenca por mes</t>
  </si>
  <si>
    <t xml:space="preserve">Diferenca por ano</t>
  </si>
  <si>
    <t xml:space="preserve">Ocupacao da capacidade da equipe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</si>
</sst>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&quot; h&quot;"/>
    <numFmt numFmtId="166" formatCode="&quot;R$ &quot;#,##0"/>
    <numFmt numFmtId="167" formatCode="0.00\x"/>
    <numFmt numFmtId="168" formatCode="&quot;R$ &quot;#,##0.00"/>
    <numFmt numFmtId="169" formatCode="0.0%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20"/>
      <color rgb="FF1B2A4A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227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F2F4F7"/>
        <bgColor rgb="FFFDF6E0"/>
      </patternFill>
    </fill>
    <fill>
      <patternFill patternType="solid">
        <fgColor rgb="FFFDF6E0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3"/>
      </left>
      <right style="thin">
        <color rgb="FFD6DBE3"/>
      </right>
      <top style="thin">
        <color rgb="FFD6DBE3"/>
      </top>
      <bottom style="thin">
        <color rgb="FFD6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6E0"/>
      <rgbColor rgb="FFF2F4F7"/>
      <rgbColor rgb="FF660066"/>
      <rgbColor rgb="FFFF8080"/>
      <rgbColor rgb="FF0066CC"/>
      <rgbColor rgb="FFD6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5" customFormat="false" ht="19.5" hidden="false" customHeight="true" outlineLevel="0" collapsed="false">
      <c r="A5" s="3" t="s">
        <v>2</v>
      </c>
      <c r="B5" s="3"/>
      <c r="C5" s="3"/>
      <c r="D5" s="3"/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24" hidden="false" customHeight="true" outlineLevel="0" collapsed="false">
      <c r="B8" s="4" t="s">
        <v>7</v>
      </c>
      <c r="C8" s="5" t="s">
        <v>8</v>
      </c>
    </row>
    <row r="9" customFormat="false" ht="24" hidden="false" customHeight="true" outlineLevel="0" collapsed="false">
      <c r="B9" s="4" t="s">
        <v>9</v>
      </c>
      <c r="C9" s="5" t="s">
        <v>10</v>
      </c>
    </row>
    <row r="11" customFormat="false" ht="19.5" hidden="false" customHeight="true" outlineLevel="0" collapsed="false">
      <c r="A11" s="3" t="s">
        <v>11</v>
      </c>
      <c r="B11" s="3"/>
      <c r="C11" s="3"/>
      <c r="D11" s="3"/>
    </row>
    <row r="12" customFormat="false" ht="24" hidden="false" customHeight="true" outlineLevel="0" collapsed="false">
      <c r="B12" s="6" t="s">
        <v>12</v>
      </c>
      <c r="C12" s="5" t="s">
        <v>13</v>
      </c>
    </row>
    <row r="13" customFormat="false" ht="15" hidden="false" customHeight="true" outlineLevel="0" collapsed="false">
      <c r="B13" s="4" t="s">
        <v>14</v>
      </c>
      <c r="C13" s="5" t="s">
        <v>15</v>
      </c>
    </row>
    <row r="14" customFormat="false" ht="15" hidden="false" customHeight="true" outlineLevel="0" collapsed="false">
      <c r="B14" s="7" t="s">
        <v>16</v>
      </c>
      <c r="C14" s="5" t="s">
        <v>17</v>
      </c>
    </row>
    <row r="16" customFormat="false" ht="19.5" hidden="false" customHeight="true" outlineLevel="0" collapsed="false">
      <c r="A16" s="3" t="s">
        <v>18</v>
      </c>
      <c r="B16" s="3"/>
      <c r="C16" s="3"/>
      <c r="D16" s="3"/>
    </row>
    <row r="17" customFormat="false" ht="24" hidden="false" customHeight="true" outlineLevel="0" collapsed="false">
      <c r="B17" s="4" t="s">
        <v>19</v>
      </c>
      <c r="C17" s="5" t="s">
        <v>20</v>
      </c>
    </row>
    <row r="18" customFormat="false" ht="24" hidden="false" customHeight="true" outlineLevel="0" collapsed="false">
      <c r="B18" s="4" t="s">
        <v>21</v>
      </c>
      <c r="C18" s="5" t="s">
        <v>22</v>
      </c>
    </row>
    <row r="19" customFormat="false" ht="30" hidden="false" customHeight="true" outlineLevel="0" collapsed="false">
      <c r="B19" s="4" t="s">
        <v>23</v>
      </c>
      <c r="C19" s="5" t="s">
        <v>24</v>
      </c>
    </row>
    <row r="20" customFormat="false" ht="24" hidden="false" customHeight="true" outlineLevel="0" collapsed="false">
      <c r="B20" s="4" t="s">
        <v>25</v>
      </c>
      <c r="C20" s="5" t="s">
        <v>26</v>
      </c>
    </row>
    <row r="21" customFormat="false" ht="24" hidden="false" customHeight="true" outlineLevel="0" collapsed="false">
      <c r="B21" s="4" t="s">
        <v>27</v>
      </c>
      <c r="C21" s="5" t="s">
        <v>28</v>
      </c>
    </row>
    <row r="23" customFormat="false" ht="19.5" hidden="false" customHeight="true" outlineLevel="0" collapsed="false">
      <c r="A23" s="3" t="s">
        <v>29</v>
      </c>
      <c r="B23" s="3"/>
      <c r="C23" s="3"/>
      <c r="D23" s="3"/>
    </row>
    <row r="24" customFormat="false" ht="30" hidden="false" customHeight="true" outlineLevel="0" collapsed="false">
      <c r="B24" s="4" t="s">
        <v>30</v>
      </c>
      <c r="C24" s="5" t="s">
        <v>31</v>
      </c>
    </row>
    <row r="25" customFormat="false" ht="30" hidden="false" customHeight="true" outlineLevel="0" collapsed="false">
      <c r="B25" s="4" t="s">
        <v>32</v>
      </c>
      <c r="C25" s="5" t="s">
        <v>33</v>
      </c>
    </row>
    <row r="26" customFormat="false" ht="30" hidden="false" customHeight="true" outlineLevel="0" collapsed="false">
      <c r="B26" s="4" t="s">
        <v>34</v>
      </c>
      <c r="C26" s="5" t="s">
        <v>35</v>
      </c>
    </row>
    <row r="27" customFormat="false" ht="30" hidden="false" customHeight="true" outlineLevel="0" collapsed="false">
      <c r="B27" s="4" t="s">
        <v>36</v>
      </c>
      <c r="C27" s="5" t="s">
        <v>37</v>
      </c>
    </row>
    <row r="29" customFormat="false" ht="15" hidden="false" customHeight="false" outlineLevel="0" collapsed="false">
      <c r="B29" s="8" t="s">
        <v>38</v>
      </c>
      <c r="C29" s="9" t="s">
        <v>39</v>
      </c>
    </row>
  </sheetData>
  <mergeCells count="6">
    <mergeCell ref="A1:D1"/>
    <mergeCell ref="A2:D2"/>
    <mergeCell ref="A5:D5"/>
    <mergeCell ref="A11:D11"/>
    <mergeCell ref="A16:D16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41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9" t="s">
        <v>42</v>
      </c>
    </row>
    <row r="6" customFormat="false" ht="19.5" hidden="false" customHeight="true" outlineLevel="0" collapsed="false">
      <c r="A6" s="3" t="s">
        <v>43</v>
      </c>
      <c r="B6" s="3"/>
      <c r="C6" s="3"/>
      <c r="D6" s="3"/>
      <c r="E6" s="3"/>
      <c r="F6" s="3"/>
    </row>
    <row r="7" customFormat="false" ht="15" hidden="false" customHeight="false" outlineLevel="0" collapsed="false">
      <c r="B7" s="10" t="s">
        <v>44</v>
      </c>
      <c r="C7" s="10" t="s">
        <v>45</v>
      </c>
      <c r="D7" s="10" t="s">
        <v>46</v>
      </c>
      <c r="E7" s="10" t="s">
        <v>47</v>
      </c>
    </row>
    <row r="8" customFormat="false" ht="15" hidden="false" customHeight="false" outlineLevel="0" collapsed="false">
      <c r="B8" s="11" t="s">
        <v>48</v>
      </c>
      <c r="C8" s="12" t="n">
        <v>0.6</v>
      </c>
      <c r="D8" s="13" t="n">
        <v>90</v>
      </c>
      <c r="E8" s="13" t="n">
        <v>180</v>
      </c>
      <c r="F8" s="9" t="s">
        <v>49</v>
      </c>
    </row>
    <row r="9" customFormat="false" ht="15" hidden="false" customHeight="false" outlineLevel="0" collapsed="false">
      <c r="B9" s="11" t="s">
        <v>50</v>
      </c>
      <c r="C9" s="12" t="n">
        <v>3</v>
      </c>
      <c r="D9" s="13" t="n">
        <v>350</v>
      </c>
      <c r="E9" s="13" t="n">
        <v>900</v>
      </c>
      <c r="F9" s="9" t="s">
        <v>51</v>
      </c>
    </row>
    <row r="10" customFormat="false" ht="15" hidden="false" customHeight="false" outlineLevel="0" collapsed="false">
      <c r="B10" s="11" t="s">
        <v>52</v>
      </c>
      <c r="C10" s="12" t="n">
        <v>6.5</v>
      </c>
      <c r="D10" s="13" t="n">
        <v>700</v>
      </c>
      <c r="E10" s="13" t="n">
        <v>2200</v>
      </c>
      <c r="F10" s="9" t="s">
        <v>53</v>
      </c>
    </row>
    <row r="11" customFormat="false" ht="15" hidden="false" customHeight="false" outlineLevel="0" collapsed="false">
      <c r="B11" s="11" t="s">
        <v>54</v>
      </c>
      <c r="C11" s="12" t="n">
        <v>14</v>
      </c>
      <c r="D11" s="13" t="n">
        <v>1800</v>
      </c>
      <c r="E11" s="13" t="n">
        <v>7000</v>
      </c>
    </row>
    <row r="13" customFormat="false" ht="19.5" hidden="false" customHeight="true" outlineLevel="0" collapsed="false">
      <c r="A13" s="3" t="s">
        <v>55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B14" s="10" t="s">
        <v>56</v>
      </c>
      <c r="C14" s="10" t="s">
        <v>57</v>
      </c>
    </row>
    <row r="15" customFormat="false" ht="15" hidden="false" customHeight="false" outlineLevel="0" collapsed="false">
      <c r="B15" s="11" t="s">
        <v>58</v>
      </c>
      <c r="C15" s="14" t="n">
        <v>1</v>
      </c>
      <c r="F15" s="9" t="s">
        <v>59</v>
      </c>
    </row>
    <row r="16" customFormat="false" ht="15" hidden="false" customHeight="false" outlineLevel="0" collapsed="false">
      <c r="B16" s="11" t="s">
        <v>60</v>
      </c>
      <c r="C16" s="14" t="n">
        <v>1.05</v>
      </c>
      <c r="F16" s="9" t="s">
        <v>61</v>
      </c>
    </row>
    <row r="17" customFormat="false" ht="15" hidden="false" customHeight="false" outlineLevel="0" collapsed="false">
      <c r="B17" s="11" t="s">
        <v>62</v>
      </c>
      <c r="C17" s="14" t="n">
        <v>1.35</v>
      </c>
    </row>
    <row r="19" customFormat="false" ht="19.5" hidden="false" customHeight="true" outlineLevel="0" collapsed="false">
      <c r="A19" s="3" t="s">
        <v>63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B20" s="10" t="s">
        <v>64</v>
      </c>
      <c r="C20" s="10" t="s">
        <v>45</v>
      </c>
    </row>
    <row r="21" customFormat="false" ht="15" hidden="false" customHeight="false" outlineLevel="0" collapsed="false">
      <c r="B21" s="11" t="s">
        <v>65</v>
      </c>
      <c r="C21" s="12" t="n">
        <v>0</v>
      </c>
      <c r="F21" s="9" t="s">
        <v>66</v>
      </c>
    </row>
    <row r="22" customFormat="false" ht="15" hidden="false" customHeight="false" outlineLevel="0" collapsed="false">
      <c r="B22" s="11" t="s">
        <v>67</v>
      </c>
      <c r="C22" s="12" t="n">
        <v>1.5</v>
      </c>
    </row>
    <row r="23" customFormat="false" ht="15" hidden="false" customHeight="false" outlineLevel="0" collapsed="false">
      <c r="B23" s="11" t="s">
        <v>68</v>
      </c>
      <c r="C23" s="12" t="n">
        <v>4</v>
      </c>
    </row>
    <row r="24" customFormat="false" ht="15" hidden="false" customHeight="false" outlineLevel="0" collapsed="false">
      <c r="B24" s="11" t="s">
        <v>69</v>
      </c>
      <c r="C24" s="12" t="n">
        <v>8</v>
      </c>
    </row>
    <row r="25" customFormat="false" ht="15" hidden="false" customHeight="false" outlineLevel="0" collapsed="false">
      <c r="B25" s="11" t="s">
        <v>70</v>
      </c>
      <c r="C25" s="12" t="n">
        <v>14</v>
      </c>
    </row>
    <row r="27" customFormat="false" ht="19.5" hidden="false" customHeight="true" outlineLevel="0" collapsed="false">
      <c r="A27" s="3" t="s">
        <v>71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B28" s="10" t="s">
        <v>72</v>
      </c>
      <c r="C28" s="10" t="s">
        <v>45</v>
      </c>
    </row>
    <row r="29" customFormat="false" ht="15" hidden="false" customHeight="false" outlineLevel="0" collapsed="false">
      <c r="B29" s="11" t="s">
        <v>73</v>
      </c>
      <c r="C29" s="12" t="n">
        <v>1.5</v>
      </c>
      <c r="F29" s="9" t="s">
        <v>74</v>
      </c>
    </row>
    <row r="30" customFormat="false" ht="15" hidden="false" customHeight="false" outlineLevel="0" collapsed="false">
      <c r="B30" s="11" t="s">
        <v>75</v>
      </c>
      <c r="C30" s="12" t="n">
        <v>1.2</v>
      </c>
    </row>
    <row r="31" customFormat="false" ht="15" hidden="false" customHeight="false" outlineLevel="0" collapsed="false">
      <c r="B31" s="11" t="s">
        <v>76</v>
      </c>
      <c r="C31" s="12" t="n">
        <v>1.5</v>
      </c>
    </row>
    <row r="32" customFormat="false" ht="15" hidden="false" customHeight="false" outlineLevel="0" collapsed="false">
      <c r="B32" s="11" t="s">
        <v>77</v>
      </c>
      <c r="C32" s="12" t="n">
        <v>1.5</v>
      </c>
    </row>
    <row r="33" customFormat="false" ht="15" hidden="false" customHeight="false" outlineLevel="0" collapsed="false">
      <c r="B33" s="11" t="s">
        <v>78</v>
      </c>
      <c r="C33" s="12" t="n">
        <v>0.8</v>
      </c>
    </row>
    <row r="34" customFormat="false" ht="15" hidden="false" customHeight="false" outlineLevel="0" collapsed="false">
      <c r="B34" s="11" t="s">
        <v>79</v>
      </c>
      <c r="C34" s="12" t="n">
        <v>1.5</v>
      </c>
    </row>
    <row r="35" customFormat="false" ht="15" hidden="false" customHeight="false" outlineLevel="0" collapsed="false">
      <c r="B35" s="11" t="s">
        <v>80</v>
      </c>
      <c r="C35" s="12" t="n">
        <v>2.5</v>
      </c>
    </row>
    <row r="37" customFormat="false" ht="19.5" hidden="false" customHeight="true" outlineLevel="0" collapsed="false">
      <c r="A37" s="3" t="s">
        <v>81</v>
      </c>
      <c r="B37" s="3"/>
      <c r="C37" s="3"/>
      <c r="D37" s="3"/>
      <c r="E37" s="3"/>
      <c r="F37" s="3"/>
    </row>
    <row r="38" customFormat="false" ht="15" hidden="false" customHeight="false" outlineLevel="0" collapsed="false">
      <c r="B38" s="11" t="s">
        <v>82</v>
      </c>
      <c r="C38" s="12" t="n">
        <v>0.45</v>
      </c>
      <c r="F38" s="9" t="s">
        <v>83</v>
      </c>
    </row>
    <row r="39" customFormat="false" ht="15" hidden="false" customHeight="false" outlineLevel="0" collapsed="false">
      <c r="B39" s="11" t="s">
        <v>84</v>
      </c>
      <c r="C39" s="12" t="n">
        <v>0.35</v>
      </c>
      <c r="F39" s="9" t="s">
        <v>85</v>
      </c>
    </row>
    <row r="40" customFormat="false" ht="15" hidden="false" customHeight="false" outlineLevel="0" collapsed="false">
      <c r="B40" s="11" t="s">
        <v>86</v>
      </c>
      <c r="C40" s="12" t="n">
        <v>1.5</v>
      </c>
      <c r="F40" s="9" t="s">
        <v>87</v>
      </c>
    </row>
    <row r="42" customFormat="false" ht="19.5" hidden="false" customHeight="true" outlineLevel="0" collapsed="false">
      <c r="A42" s="3" t="s">
        <v>88</v>
      </c>
      <c r="B42" s="3"/>
      <c r="C42" s="3"/>
      <c r="D42" s="3"/>
      <c r="E42" s="3"/>
      <c r="F42" s="3"/>
    </row>
    <row r="43" customFormat="false" ht="15" hidden="false" customHeight="false" outlineLevel="0" collapsed="false">
      <c r="B43" s="10" t="s">
        <v>89</v>
      </c>
      <c r="C43" s="10" t="s">
        <v>45</v>
      </c>
    </row>
    <row r="44" customFormat="false" ht="15" hidden="false" customHeight="false" outlineLevel="0" collapsed="false">
      <c r="B44" s="15" t="n">
        <v>80000</v>
      </c>
      <c r="C44" s="12" t="n">
        <v>0</v>
      </c>
      <c r="F44" s="9" t="s">
        <v>90</v>
      </c>
    </row>
    <row r="45" customFormat="false" ht="15" hidden="false" customHeight="false" outlineLevel="0" collapsed="false">
      <c r="B45" s="15" t="n">
        <v>300000</v>
      </c>
      <c r="C45" s="12" t="n">
        <v>0.8</v>
      </c>
      <c r="F45" s="9" t="s">
        <v>91</v>
      </c>
    </row>
    <row r="46" customFormat="false" ht="15" hidden="false" customHeight="false" outlineLevel="0" collapsed="false">
      <c r="B46" s="15" t="n">
        <v>1000000</v>
      </c>
      <c r="C46" s="12" t="n">
        <v>2</v>
      </c>
    </row>
    <row r="47" customFormat="false" ht="15" hidden="false" customHeight="false" outlineLevel="0" collapsed="false">
      <c r="B47" s="15" t="n">
        <v>1000000000000</v>
      </c>
      <c r="C47" s="12" t="n">
        <v>4</v>
      </c>
    </row>
    <row r="49" customFormat="false" ht="19.5" hidden="false" customHeight="true" outlineLevel="0" collapsed="false">
      <c r="A49" s="3" t="s">
        <v>92</v>
      </c>
      <c r="B49" s="3"/>
      <c r="C49" s="3"/>
      <c r="D49" s="3"/>
      <c r="E49" s="3"/>
      <c r="F49" s="3"/>
    </row>
    <row r="50" customFormat="false" ht="15" hidden="false" customHeight="false" outlineLevel="0" collapsed="false">
      <c r="B50" s="10" t="s">
        <v>93</v>
      </c>
      <c r="C50" s="10" t="s">
        <v>94</v>
      </c>
    </row>
    <row r="51" customFormat="false" ht="15" hidden="false" customHeight="false" outlineLevel="0" collapsed="false">
      <c r="B51" s="11" t="s">
        <v>95</v>
      </c>
      <c r="C51" s="13" t="n">
        <v>900</v>
      </c>
      <c r="F51" s="9" t="s">
        <v>96</v>
      </c>
    </row>
    <row r="52" customFormat="false" ht="15" hidden="false" customHeight="false" outlineLevel="0" collapsed="false">
      <c r="B52" s="11" t="s">
        <v>97</v>
      </c>
      <c r="C52" s="13" t="n">
        <v>650</v>
      </c>
      <c r="F52" s="9" t="s">
        <v>98</v>
      </c>
    </row>
    <row r="53" customFormat="false" ht="15" hidden="false" customHeight="false" outlineLevel="0" collapsed="false">
      <c r="B53" s="11" t="s">
        <v>99</v>
      </c>
      <c r="C53" s="13" t="n">
        <v>1200</v>
      </c>
    </row>
    <row r="54" customFormat="false" ht="15" hidden="false" customHeight="false" outlineLevel="0" collapsed="false">
      <c r="B54" s="11" t="s">
        <v>100</v>
      </c>
      <c r="C54" s="13" t="n">
        <v>2500</v>
      </c>
    </row>
    <row r="55" customFormat="false" ht="15" hidden="false" customHeight="false" outlineLevel="0" collapsed="false">
      <c r="B55" s="11" t="s">
        <v>101</v>
      </c>
      <c r="C55" s="13" t="n">
        <v>350</v>
      </c>
    </row>
    <row r="56" customFormat="false" ht="15" hidden="false" customHeight="false" outlineLevel="0" collapsed="false">
      <c r="B56" s="11" t="s">
        <v>102</v>
      </c>
      <c r="C56" s="13" t="n">
        <v>500</v>
      </c>
    </row>
    <row r="57" customFormat="false" ht="15" hidden="false" customHeight="false" outlineLevel="0" collapsed="false">
      <c r="B57" s="11" t="s">
        <v>103</v>
      </c>
      <c r="C57" s="13" t="n">
        <v>3000</v>
      </c>
    </row>
  </sheetData>
  <mergeCells count="9">
    <mergeCell ref="A1:F1"/>
    <mergeCell ref="A2:F2"/>
    <mergeCell ref="A6:F6"/>
    <mergeCell ref="A13:F13"/>
    <mergeCell ref="A19:F19"/>
    <mergeCell ref="A27:F27"/>
    <mergeCell ref="A37:F37"/>
    <mergeCell ref="A42:F42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62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</row>
    <row r="2" customFormat="false" ht="18" hidden="false" customHeight="true" outlineLevel="0" collapsed="false">
      <c r="A2" s="2" t="s">
        <v>105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106</v>
      </c>
      <c r="B4" s="3"/>
      <c r="C4" s="3"/>
      <c r="D4" s="3"/>
      <c r="E4" s="3"/>
    </row>
    <row r="5" customFormat="false" ht="15" hidden="false" customHeight="false" outlineLevel="0" collapsed="false">
      <c r="B5" s="16" t="s">
        <v>107</v>
      </c>
      <c r="C5" s="17" t="n">
        <v>28000</v>
      </c>
      <c r="E5" s="9" t="s">
        <v>108</v>
      </c>
    </row>
    <row r="6" customFormat="false" ht="15" hidden="false" customHeight="false" outlineLevel="0" collapsed="false">
      <c r="B6" s="16" t="s">
        <v>109</v>
      </c>
      <c r="C6" s="12" t="n">
        <v>320</v>
      </c>
      <c r="E6" s="9" t="s">
        <v>110</v>
      </c>
    </row>
    <row r="7" customFormat="false" ht="15" hidden="false" customHeight="false" outlineLevel="0" collapsed="false">
      <c r="B7" s="16" t="s">
        <v>111</v>
      </c>
      <c r="C7" s="18" t="n">
        <v>0.3</v>
      </c>
      <c r="E7" s="9" t="s">
        <v>112</v>
      </c>
    </row>
    <row r="9" customFormat="false" ht="19.5" hidden="false" customHeight="true" outlineLevel="0" collapsed="false">
      <c r="A9" s="3" t="s">
        <v>113</v>
      </c>
      <c r="B9" s="3"/>
      <c r="C9" s="3"/>
      <c r="D9" s="3"/>
      <c r="E9" s="3"/>
    </row>
    <row r="10" customFormat="false" ht="15" hidden="false" customHeight="false" outlineLevel="0" collapsed="false">
      <c r="B10" s="16" t="s">
        <v>114</v>
      </c>
      <c r="C10" s="19" t="n">
        <f aca="false">IF(C6=0,0,C5/C6)</f>
        <v>87.5</v>
      </c>
      <c r="E10" s="9" t="s">
        <v>115</v>
      </c>
    </row>
    <row r="11" customFormat="false" ht="27.75" hidden="false" customHeight="true" outlineLevel="0" collapsed="false">
      <c r="B11" s="16" t="s">
        <v>116</v>
      </c>
      <c r="C11" s="20" t="n">
        <f aca="false">C10*(1+C7)</f>
        <v>113.75</v>
      </c>
      <c r="E11" s="9" t="s">
        <v>117</v>
      </c>
    </row>
    <row r="13" customFormat="false" ht="15" hidden="false" customHeight="false" outlineLevel="0" collapsed="false">
      <c r="B13" s="8" t="s">
        <v>118</v>
      </c>
      <c r="C13" s="21" t="n">
        <f aca="false">C5*12</f>
        <v>336000</v>
      </c>
    </row>
    <row r="14" customFormat="false" ht="15" hidden="false" customHeight="false" outlineLevel="0" collapsed="false">
      <c r="B14" s="8" t="s">
        <v>119</v>
      </c>
      <c r="C14" s="21" t="n">
        <f aca="false">C11*C6*12</f>
        <v>436800</v>
      </c>
      <c r="E14" s="9" t="s">
        <v>120</v>
      </c>
    </row>
    <row r="16" customFormat="false" ht="15" hidden="false" customHeight="false" outlineLevel="0" collapsed="false">
      <c r="B16" s="8" t="s">
        <v>121</v>
      </c>
      <c r="C16" s="9"/>
      <c r="E16" s="9" t="s">
        <v>122</v>
      </c>
    </row>
    <row r="19" customFormat="false" ht="15" hidden="false" customHeight="false" outlineLevel="0" collapsed="false">
      <c r="B19" s="22" t="s">
        <v>123</v>
      </c>
    </row>
  </sheetData>
  <mergeCells count="4">
    <mergeCell ref="A1:E1"/>
    <mergeCell ref="A2:E2"/>
    <mergeCell ref="A4:E4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 t="s">
        <v>124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126</v>
      </c>
      <c r="B4" s="3"/>
      <c r="C4" s="3"/>
      <c r="D4" s="3"/>
      <c r="E4" s="3"/>
      <c r="F4" s="3"/>
    </row>
    <row r="5" customFormat="false" ht="15" hidden="false" customHeight="false" outlineLevel="0" collapsed="false">
      <c r="B5" s="16" t="s">
        <v>127</v>
      </c>
      <c r="C5" s="23" t="s">
        <v>128</v>
      </c>
      <c r="F5" s="9" t="s">
        <v>129</v>
      </c>
    </row>
    <row r="7" customFormat="false" ht="19.5" hidden="false" customHeight="true" outlineLevel="0" collapsed="false">
      <c r="A7" s="3" t="s">
        <v>130</v>
      </c>
      <c r="B7" s="3"/>
      <c r="C7" s="3"/>
      <c r="D7" s="3"/>
      <c r="E7" s="3"/>
      <c r="F7" s="3"/>
    </row>
    <row r="8" customFormat="false" ht="15" hidden="false" customHeight="false" outlineLevel="0" collapsed="false">
      <c r="B8" s="16" t="s">
        <v>131</v>
      </c>
      <c r="C8" s="24" t="s">
        <v>50</v>
      </c>
      <c r="F8" s="9" t="s">
        <v>132</v>
      </c>
    </row>
    <row r="9" customFormat="false" ht="15" hidden="false" customHeight="false" outlineLevel="0" collapsed="false">
      <c r="B9" s="16" t="s">
        <v>133</v>
      </c>
      <c r="C9" s="24" t="s">
        <v>60</v>
      </c>
    </row>
    <row r="10" customFormat="false" ht="15" hidden="false" customHeight="false" outlineLevel="0" collapsed="false">
      <c r="B10" s="16" t="s">
        <v>134</v>
      </c>
      <c r="C10" s="13" t="n">
        <v>50000</v>
      </c>
      <c r="F10" s="9" t="s">
        <v>135</v>
      </c>
    </row>
    <row r="11" customFormat="false" ht="15" hidden="false" customHeight="false" outlineLevel="0" collapsed="false">
      <c r="B11" s="16" t="s">
        <v>136</v>
      </c>
      <c r="C11" s="25" t="n">
        <v>2</v>
      </c>
      <c r="F11" s="9" t="s">
        <v>137</v>
      </c>
    </row>
    <row r="12" customFormat="false" ht="15" hidden="false" customHeight="false" outlineLevel="0" collapsed="false">
      <c r="B12" s="16" t="s">
        <v>138</v>
      </c>
      <c r="C12" s="25" t="n">
        <v>1</v>
      </c>
    </row>
    <row r="13" customFormat="false" ht="15" hidden="false" customHeight="false" outlineLevel="0" collapsed="false">
      <c r="B13" s="16" t="s">
        <v>139</v>
      </c>
      <c r="C13" s="25" t="n">
        <v>0</v>
      </c>
    </row>
    <row r="14" customFormat="false" ht="15" hidden="false" customHeight="false" outlineLevel="0" collapsed="false">
      <c r="B14" s="16" t="s">
        <v>140</v>
      </c>
      <c r="C14" s="24" t="s">
        <v>67</v>
      </c>
      <c r="F14" s="9" t="s">
        <v>141</v>
      </c>
    </row>
    <row r="16" customFormat="false" ht="19.5" hidden="false" customHeight="true" outlineLevel="0" collapsed="false">
      <c r="A16" s="3" t="s">
        <v>142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B17" s="16" t="s">
        <v>72</v>
      </c>
      <c r="C17" s="10" t="s">
        <v>143</v>
      </c>
      <c r="D17" s="10" t="s">
        <v>144</v>
      </c>
    </row>
    <row r="18" customFormat="false" ht="15" hidden="false" customHeight="false" outlineLevel="0" collapsed="false">
      <c r="B18" s="26" t="str">
        <f aca="false">Parametros!B29</f>
        <v>EFD-Contribuicoes</v>
      </c>
      <c r="C18" s="24"/>
      <c r="D18" s="27" t="n">
        <f aca="false">IF(UPPER(C18)="X",Parametros!$C$29,0)</f>
        <v>0</v>
      </c>
    </row>
    <row r="19" customFormat="false" ht="15" hidden="false" customHeight="false" outlineLevel="0" collapsed="false">
      <c r="B19" s="26" t="str">
        <f aca="false">Parametros!B30</f>
        <v>EFD-Reinf</v>
      </c>
      <c r="C19" s="24"/>
      <c r="D19" s="27" t="n">
        <f aca="false">IF(UPPER(C19)="X",Parametros!$C$30,0)</f>
        <v>0</v>
      </c>
    </row>
    <row r="20" customFormat="false" ht="15" hidden="false" customHeight="false" outlineLevel="0" collapsed="false">
      <c r="B20" s="26" t="str">
        <f aca="false">Parametros!B31</f>
        <v>ECD (Sped Contabil)</v>
      </c>
      <c r="C20" s="24"/>
      <c r="D20" s="27" t="n">
        <f aca="false">IF(UPPER(C20)="X",Parametros!$C$31,0)</f>
        <v>0</v>
      </c>
    </row>
    <row r="21" customFormat="false" ht="15" hidden="false" customHeight="false" outlineLevel="0" collapsed="false">
      <c r="B21" s="26" t="str">
        <f aca="false">Parametros!B32</f>
        <v>ECF</v>
      </c>
      <c r="C21" s="24"/>
      <c r="D21" s="27" t="n">
        <f aca="false">IF(UPPER(C21)="X",Parametros!$C$32,0)</f>
        <v>0</v>
      </c>
    </row>
    <row r="22" customFormat="false" ht="15" hidden="false" customHeight="false" outlineLevel="0" collapsed="false">
      <c r="B22" s="26" t="str">
        <f aca="false">Parametros!B33</f>
        <v>DCTFWeb</v>
      </c>
      <c r="C22" s="24"/>
      <c r="D22" s="27" t="n">
        <f aca="false">IF(UPPER(C22)="X",Parametros!$C$33,0)</f>
        <v>0</v>
      </c>
    </row>
    <row r="23" customFormat="false" ht="15" hidden="false" customHeight="false" outlineLevel="0" collapsed="false">
      <c r="B23" s="26" t="str">
        <f aca="false">Parametros!B34</f>
        <v>ICMS-ST / DIFAL</v>
      </c>
      <c r="C23" s="24"/>
      <c r="D23" s="27" t="n">
        <f aca="false">IF(UPPER(C23)="X",Parametros!$C$34,0)</f>
        <v>0</v>
      </c>
    </row>
    <row r="24" customFormat="false" ht="15" hidden="false" customHeight="false" outlineLevel="0" collapsed="false">
      <c r="B24" s="26" t="str">
        <f aca="false">Parametros!B35</f>
        <v>Comercio exterior (Imp/Exp)</v>
      </c>
      <c r="C24" s="24"/>
      <c r="D24" s="27" t="n">
        <f aca="false">IF(UPPER(C24)="X",Parametros!$C$35,0)</f>
        <v>0</v>
      </c>
    </row>
    <row r="26" customFormat="false" ht="19.5" hidden="false" customHeight="true" outlineLevel="0" collapsed="false">
      <c r="A26" s="3" t="s">
        <v>145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B27" s="10" t="s">
        <v>146</v>
      </c>
      <c r="C27" s="10" t="s">
        <v>45</v>
      </c>
      <c r="D27" s="10" t="s">
        <v>94</v>
      </c>
    </row>
    <row r="28" customFormat="false" ht="15" hidden="false" customHeight="false" outlineLevel="0" collapsed="false">
      <c r="B28" s="11" t="s">
        <v>147</v>
      </c>
      <c r="C28" s="28" t="n">
        <f aca="false">IFERROR(INDEX(Parametros!$C$8:$C$11,MATCH($C$8,Parametros!$B$8:$B$11,0))*INDEX(Parametros!$C$15:$C$17,MATCH($C$9,Parametros!$B$15:$B$17,0)),0)</f>
        <v>3.15</v>
      </c>
      <c r="D28" s="29" t="n">
        <f aca="false">C28*'Meu Escritorio'!$C$11</f>
        <v>358.3125</v>
      </c>
    </row>
    <row r="29" customFormat="false" ht="15" hidden="false" customHeight="false" outlineLevel="0" collapsed="false">
      <c r="B29" s="11" t="s">
        <v>148</v>
      </c>
      <c r="C29" s="28" t="n">
        <f aca="false">$C$11*Parametros!$C$38</f>
        <v>0.9</v>
      </c>
      <c r="D29" s="29" t="n">
        <f aca="false">C29*'Meu Escritorio'!$C$11</f>
        <v>102.375</v>
      </c>
    </row>
    <row r="30" customFormat="false" ht="15" hidden="false" customHeight="false" outlineLevel="0" collapsed="false">
      <c r="B30" s="11" t="s">
        <v>149</v>
      </c>
      <c r="C30" s="28" t="n">
        <f aca="false">$C$12*Parametros!$C$39</f>
        <v>0.35</v>
      </c>
      <c r="D30" s="29" t="n">
        <f aca="false">C30*'Meu Escritorio'!$C$11</f>
        <v>39.8125</v>
      </c>
    </row>
    <row r="31" customFormat="false" ht="15" hidden="false" customHeight="false" outlineLevel="0" collapsed="false">
      <c r="B31" s="11" t="s">
        <v>150</v>
      </c>
      <c r="C31" s="28" t="n">
        <f aca="false">IFERROR(INDEX(Parametros!$C$21:$C$25,MATCH($C$14,Parametros!$B$21:$B$25,0)),0)</f>
        <v>1.5</v>
      </c>
      <c r="D31" s="29" t="n">
        <f aca="false">C31*'Meu Escritorio'!$C$11</f>
        <v>170.625</v>
      </c>
    </row>
    <row r="32" customFormat="false" ht="15" hidden="false" customHeight="false" outlineLevel="0" collapsed="false">
      <c r="B32" s="11" t="s">
        <v>151</v>
      </c>
      <c r="C32" s="28" t="n">
        <f aca="false">SUM(D18:D24)</f>
        <v>0</v>
      </c>
      <c r="D32" s="29" t="n">
        <f aca="false">C32*'Meu Escritorio'!$C$11</f>
        <v>0</v>
      </c>
    </row>
    <row r="33" customFormat="false" ht="15" hidden="false" customHeight="false" outlineLevel="0" collapsed="false">
      <c r="B33" s="11" t="s">
        <v>139</v>
      </c>
      <c r="C33" s="28" t="n">
        <f aca="false">$C$13*Parametros!$C$40</f>
        <v>0</v>
      </c>
      <c r="D33" s="29" t="n">
        <f aca="false">C33*'Meu Escritorio'!$C$11</f>
        <v>0</v>
      </c>
    </row>
    <row r="34" customFormat="false" ht="15" hidden="false" customHeight="false" outlineLevel="0" collapsed="false">
      <c r="B34" s="11" t="s">
        <v>152</v>
      </c>
      <c r="C34" s="28" t="n">
        <f aca="false">IFERROR(INDEX(Parametros!$C$44:$C$47,MATCH(TRUE(),INDEX(Parametros!$B$44:$B$47&gt;=$C$10,0),0)),0)</f>
        <v>0</v>
      </c>
      <c r="D34" s="29" t="n">
        <f aca="false">C34*'Meu Escritorio'!$C$11</f>
        <v>0</v>
      </c>
    </row>
    <row r="35" customFormat="false" ht="15" hidden="false" customHeight="false" outlineLevel="0" collapsed="false">
      <c r="B35" s="30" t="s">
        <v>153</v>
      </c>
      <c r="C35" s="31" t="n">
        <f aca="false">SUM(C28:C34)</f>
        <v>5.9</v>
      </c>
      <c r="D35" s="32" t="n">
        <f aca="false">SUM(D28:D34)</f>
        <v>671.125</v>
      </c>
    </row>
    <row r="37" customFormat="false" ht="19.5" hidden="false" customHeight="true" outlineLevel="0" collapsed="false">
      <c r="A37" s="3" t="s">
        <v>154</v>
      </c>
      <c r="B37" s="3"/>
      <c r="C37" s="3"/>
      <c r="D37" s="3"/>
      <c r="E37" s="3"/>
      <c r="F37" s="3"/>
    </row>
    <row r="38" customFormat="false" ht="15" hidden="false" customHeight="false" outlineLevel="0" collapsed="false">
      <c r="B38" s="16" t="s">
        <v>155</v>
      </c>
      <c r="C38" s="33" t="n">
        <f aca="false">C35*'Meu Escritorio'!$C$10</f>
        <v>516.25</v>
      </c>
      <c r="F38" s="9" t="s">
        <v>156</v>
      </c>
    </row>
    <row r="39" customFormat="false" ht="27.75" hidden="false" customHeight="true" outlineLevel="0" collapsed="false">
      <c r="B39" s="16" t="s">
        <v>157</v>
      </c>
      <c r="C39" s="20" t="n">
        <f aca="false">C35*'Meu Escritorio'!$C$11</f>
        <v>671.125</v>
      </c>
      <c r="F39" s="9" t="s">
        <v>158</v>
      </c>
    </row>
    <row r="40" customFormat="false" ht="15" hidden="false" customHeight="false" outlineLevel="0" collapsed="false">
      <c r="B40" s="16" t="s">
        <v>159</v>
      </c>
      <c r="C40" s="21" t="n">
        <f aca="false">C39*12</f>
        <v>8053.5</v>
      </c>
    </row>
    <row r="41" customFormat="false" ht="15" hidden="false" customHeight="false" outlineLevel="0" collapsed="false">
      <c r="B41" s="16" t="s">
        <v>160</v>
      </c>
      <c r="C41" s="34" t="str">
        <f aca="false">IFERROR(TEXT(INDEX(Parametros!$D$8:$D$11,MATCH($C$8,Parametros!$B$8:$B$11,0)),"R$ #,##0")&amp;"  a  "&amp;TEXT(INDEX(Parametros!$E$8:$E$11,MATCH($C$8,Parametros!$B$8:$B$11,0)),"R$ #,##0"),"-")</f>
        <v>R$ 350  a  R$ 900</v>
      </c>
      <c r="F41" s="9" t="s">
        <v>161</v>
      </c>
    </row>
    <row r="43" customFormat="false" ht="19.5" hidden="false" customHeight="true" outlineLevel="0" collapsed="false">
      <c r="A43" s="3" t="s">
        <v>162</v>
      </c>
      <c r="B43" s="3"/>
      <c r="C43" s="3"/>
      <c r="D43" s="3"/>
      <c r="E43" s="3"/>
      <c r="F43" s="3"/>
    </row>
    <row r="44" customFormat="false" ht="15" hidden="false" customHeight="false" outlineLevel="0" collapsed="false">
      <c r="B44" s="16" t="s">
        <v>163</v>
      </c>
      <c r="C44" s="17" t="n">
        <v>0</v>
      </c>
    </row>
    <row r="45" customFormat="false" ht="15" hidden="false" customHeight="false" outlineLevel="0" collapsed="false">
      <c r="B45" s="16" t="s">
        <v>164</v>
      </c>
      <c r="C45" s="35" t="str">
        <f aca="false">IF(C44&lt;=0,"Preencha o valor pretendido acima",IF(C44&lt;C38,"ABAIXO DO PISO - risco de aviltamento (NBC PG 01)",IF(C44&lt;C39*0.92,"Cobre o custo, mas comprime a sua margem",IF(C44&gt;C39*1.15,"Acima do recomendado - exige valor percebido","Dentro da faixa recomendada"))))</f>
        <v>Preencha o valor pretendido acima</v>
      </c>
      <c r="D45" s="35"/>
    </row>
    <row r="46" customFormat="false" ht="15" hidden="false" customHeight="false" outlineLevel="0" collapsed="false">
      <c r="B46" s="16" t="s">
        <v>165</v>
      </c>
      <c r="C46" s="36" t="n">
        <f aca="false">IF(C44&lt;=0,0,C44-C39)</f>
        <v>0</v>
      </c>
    </row>
    <row r="47" customFormat="false" ht="15" hidden="false" customHeight="false" outlineLevel="0" collapsed="false">
      <c r="B47" s="16" t="s">
        <v>166</v>
      </c>
      <c r="C47" s="37" t="n">
        <f aca="false">IF(OR(C44&lt;=0,C44&gt;=C39),0,(C39-C44)*12)</f>
        <v>0</v>
      </c>
    </row>
    <row r="49" customFormat="false" ht="19.5" hidden="false" customHeight="true" outlineLevel="0" collapsed="false">
      <c r="A49" s="3" t="s">
        <v>92</v>
      </c>
      <c r="B49" s="3"/>
      <c r="C49" s="3"/>
      <c r="D49" s="3"/>
      <c r="E49" s="3"/>
      <c r="F49" s="3"/>
    </row>
    <row r="50" customFormat="false" ht="15" hidden="false" customHeight="false" outlineLevel="0" collapsed="false">
      <c r="B50" s="10" t="s">
        <v>93</v>
      </c>
      <c r="C50" s="10" t="s">
        <v>143</v>
      </c>
      <c r="D50" s="10" t="s">
        <v>94</v>
      </c>
    </row>
    <row r="51" customFormat="false" ht="15" hidden="false" customHeight="false" outlineLevel="0" collapsed="false">
      <c r="B51" s="26" t="str">
        <f aca="false">Parametros!B51</f>
        <v>Abertura de empresa</v>
      </c>
      <c r="C51" s="24"/>
      <c r="D51" s="21" t="n">
        <f aca="false">IF(UPPER(C51)="X",Parametros!$C$51,0)</f>
        <v>0</v>
      </c>
    </row>
    <row r="52" customFormat="false" ht="15" hidden="false" customHeight="false" outlineLevel="0" collapsed="false">
      <c r="B52" s="26" t="str">
        <f aca="false">Parametros!B52</f>
        <v>Alteracao contratual</v>
      </c>
      <c r="C52" s="24"/>
      <c r="D52" s="21" t="n">
        <f aca="false">IF(UPPER(C52)="X",Parametros!$C$52,0)</f>
        <v>0</v>
      </c>
    </row>
    <row r="53" customFormat="false" ht="15" hidden="false" customHeight="false" outlineLevel="0" collapsed="false">
      <c r="B53" s="26" t="str">
        <f aca="false">Parametros!B53</f>
        <v>Baixa / encerramento</v>
      </c>
      <c r="C53" s="24"/>
      <c r="D53" s="21" t="n">
        <f aca="false">IF(UPPER(C53)="X",Parametros!$C$53,0)</f>
        <v>0</v>
      </c>
    </row>
    <row r="54" customFormat="false" ht="15" hidden="false" customHeight="false" outlineLevel="0" collapsed="false">
      <c r="B54" s="26" t="str">
        <f aca="false">Parametros!B54</f>
        <v>Planejamento tributario</v>
      </c>
      <c r="C54" s="24"/>
      <c r="D54" s="21" t="n">
        <f aca="false">IF(UPPER(C54)="X",Parametros!$C$54,0)</f>
        <v>0</v>
      </c>
    </row>
    <row r="55" customFormat="false" ht="15" hidden="false" customHeight="false" outlineLevel="0" collapsed="false">
      <c r="B55" s="26" t="str">
        <f aca="false">Parametros!B55</f>
        <v>Declaracao de IRPF</v>
      </c>
      <c r="C55" s="24"/>
      <c r="D55" s="21" t="n">
        <f aca="false">IF(UPPER(C55)="X",Parametros!$C$55,0)</f>
        <v>0</v>
      </c>
    </row>
    <row r="56" customFormat="false" ht="15" hidden="false" customHeight="false" outlineLevel="0" collapsed="false">
      <c r="B56" s="26" t="str">
        <f aca="false">Parametros!B56</f>
        <v>Parcelamento de debitos</v>
      </c>
      <c r="C56" s="24"/>
      <c r="D56" s="21" t="n">
        <f aca="false">IF(UPPER(C56)="X",Parametros!$C$56,0)</f>
        <v>0</v>
      </c>
    </row>
    <row r="57" customFormat="false" ht="15" hidden="false" customHeight="false" outlineLevel="0" collapsed="false">
      <c r="B57" s="26" t="str">
        <f aca="false">Parametros!B57</f>
        <v>Defesa em fiscalizacao</v>
      </c>
      <c r="C57" s="24"/>
      <c r="D57" s="21" t="n">
        <f aca="false">IF(UPPER(C57)="X",Parametros!$C$57,0)</f>
        <v>0</v>
      </c>
    </row>
    <row r="58" customFormat="false" ht="15" hidden="false" customHeight="false" outlineLevel="0" collapsed="false">
      <c r="B58" s="30" t="s">
        <v>167</v>
      </c>
      <c r="C58" s="38"/>
      <c r="D58" s="32" t="n">
        <f aca="false">SUM(D51:D57)</f>
        <v>0</v>
      </c>
    </row>
    <row r="60" customFormat="false" ht="19.5" hidden="false" customHeight="true" outlineLevel="0" collapsed="false">
      <c r="A60" s="3" t="s">
        <v>168</v>
      </c>
      <c r="B60" s="3"/>
      <c r="C60" s="3"/>
      <c r="D60" s="3"/>
      <c r="E60" s="3"/>
      <c r="F60" s="3"/>
    </row>
    <row r="61" customFormat="false" ht="15" hidden="false" customHeight="false" outlineLevel="0" collapsed="false">
      <c r="B61" s="39" t="s">
        <v>169</v>
      </c>
      <c r="C61" s="39"/>
      <c r="D61" s="39"/>
      <c r="E61" s="39"/>
      <c r="F61" s="39"/>
    </row>
    <row r="62" customFormat="false" ht="15" hidden="false" customHeight="false" outlineLevel="0" collapsed="false">
      <c r="B62" s="40" t="s">
        <v>170</v>
      </c>
      <c r="C62" s="41" t="str">
        <f aca="false">C5</f>
        <v>Exemplo Comercio Ltda</v>
      </c>
    </row>
    <row r="63" customFormat="false" ht="15" hidden="false" customHeight="false" outlineLevel="0" collapsed="false">
      <c r="B63" s="40" t="s">
        <v>171</v>
      </c>
      <c r="C63" s="41" t="str">
        <f aca="false">C8&amp;" - "&amp;C9</f>
        <v>Simples Nacional - Servicos</v>
      </c>
    </row>
    <row r="64" customFormat="false" ht="15" hidden="false" customHeight="false" outlineLevel="0" collapsed="false">
      <c r="B64" s="40" t="s">
        <v>172</v>
      </c>
      <c r="C64" s="29" t="n">
        <f aca="false">C10</f>
        <v>50000</v>
      </c>
    </row>
    <row r="65" customFormat="false" ht="15" hidden="false" customHeight="false" outlineLevel="0" collapsed="false">
      <c r="B65" s="40" t="s">
        <v>173</v>
      </c>
      <c r="C65" s="41" t="str">
        <f aca="false">C11&amp;" / "&amp;C12</f>
        <v>2 / 1</v>
      </c>
    </row>
    <row r="66" customFormat="false" ht="15" hidden="false" customHeight="false" outlineLevel="0" collapsed="false">
      <c r="B66" s="40" t="s">
        <v>150</v>
      </c>
      <c r="C66" s="41" t="str">
        <f aca="false">C14</f>
        <v>21 a 80 NF/mes</v>
      </c>
    </row>
    <row r="67" customFormat="false" ht="15" hidden="false" customHeight="false" outlineLevel="0" collapsed="false">
      <c r="B67" s="40" t="s">
        <v>174</v>
      </c>
      <c r="C67" s="42" t="n">
        <f aca="false">C35</f>
        <v>5.9</v>
      </c>
    </row>
    <row r="68" customFormat="false" ht="15" hidden="false" customHeight="false" outlineLevel="0" collapsed="false">
      <c r="B68" s="40" t="s">
        <v>175</v>
      </c>
      <c r="C68" s="29" t="n">
        <f aca="false">'Meu Escritorio'!C11</f>
        <v>113.75</v>
      </c>
    </row>
    <row r="69" customFormat="false" ht="15" hidden="false" customHeight="false" outlineLevel="0" collapsed="false">
      <c r="B69" s="40" t="s">
        <v>176</v>
      </c>
      <c r="C69" s="29" t="n">
        <f aca="false">C39</f>
        <v>671.125</v>
      </c>
    </row>
    <row r="70" customFormat="false" ht="15" hidden="false" customHeight="false" outlineLevel="0" collapsed="false">
      <c r="B70" s="40" t="s">
        <v>159</v>
      </c>
      <c r="C70" s="43" t="n">
        <f aca="false">C40</f>
        <v>8053.5</v>
      </c>
    </row>
    <row r="71" customFormat="false" ht="15" hidden="false" customHeight="false" outlineLevel="0" collapsed="false">
      <c r="B71" s="40" t="s">
        <v>177</v>
      </c>
      <c r="C71" s="29" t="n">
        <f aca="false">D58</f>
        <v>0</v>
      </c>
    </row>
    <row r="74" customFormat="false" ht="15" hidden="false" customHeight="false" outlineLevel="0" collapsed="false">
      <c r="B74" s="22" t="s">
        <v>123</v>
      </c>
    </row>
  </sheetData>
  <mergeCells count="12">
    <mergeCell ref="A1:F1"/>
    <mergeCell ref="A2:F2"/>
    <mergeCell ref="A4:F4"/>
    <mergeCell ref="A7:F7"/>
    <mergeCell ref="A16:F16"/>
    <mergeCell ref="A26:F26"/>
    <mergeCell ref="A37:F37"/>
    <mergeCell ref="A43:F43"/>
    <mergeCell ref="C45:D45"/>
    <mergeCell ref="A49:F49"/>
    <mergeCell ref="A60:F60"/>
    <mergeCell ref="B61:F61"/>
  </mergeCells>
  <dataValidations count="4">
    <dataValidation allowBlank="false" errorStyle="stop" operator="between" showDropDown="false" showErrorMessage="false" showInputMessage="false" sqref="C7:C8 C10:C13 C15:C17 C25:C46" type="list">
      <formula1>Parametros!$B$8:$B$11</formula1>
      <formula2>0</formula2>
    </dataValidation>
    <dataValidation allowBlank="false" errorStyle="stop" operator="between" showDropDown="false" showErrorMessage="false" showInputMessage="false" sqref="D7:D10 C9 D11:D46" type="list">
      <formula1>Parametros!$B$15:$B$17</formula1>
      <formula2>0</formula2>
    </dataValidation>
    <dataValidation allowBlank="false" errorStyle="stop" operator="between" showDropDown="false" showErrorMessage="false" showInputMessage="false" sqref="I7:I15 C14 I16:I46" type="list">
      <formula1>Parametros!$B$21:$B$25</formula1>
      <formula2>0</formula2>
    </dataValidation>
    <dataValidation allowBlank="true" errorStyle="stop" operator="between" showDropDown="false" showErrorMessage="false" showInputMessage="false" sqref="C18:C24 C51:C57" type="list">
      <formula1>"X,"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8" min="6" style="0" width="8"/>
    <col collapsed="false" customWidth="true" hidden="false" outlineLevel="0" max="9" min="9" style="0" width="19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39" t="s">
        <v>180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6" customFormat="false" ht="25.5" hidden="false" customHeight="true" outlineLevel="0" collapsed="false">
      <c r="B6" s="44" t="s">
        <v>170</v>
      </c>
      <c r="C6" s="44" t="s">
        <v>44</v>
      </c>
      <c r="D6" s="44" t="s">
        <v>56</v>
      </c>
      <c r="E6" s="44" t="s">
        <v>181</v>
      </c>
      <c r="F6" s="44" t="s">
        <v>182</v>
      </c>
      <c r="G6" s="44" t="s">
        <v>138</v>
      </c>
      <c r="H6" s="44" t="s">
        <v>183</v>
      </c>
      <c r="I6" s="44" t="s">
        <v>150</v>
      </c>
      <c r="J6" s="44" t="s">
        <v>184</v>
      </c>
      <c r="K6" s="44" t="s">
        <v>45</v>
      </c>
      <c r="L6" s="44" t="s">
        <v>185</v>
      </c>
      <c r="M6" s="44" t="s">
        <v>186</v>
      </c>
      <c r="N6" s="44" t="s">
        <v>187</v>
      </c>
      <c r="O6" s="44" t="s">
        <v>188</v>
      </c>
    </row>
    <row r="7" customFormat="false" ht="15" hidden="false" customHeight="false" outlineLevel="0" collapsed="false">
      <c r="B7" s="24" t="s">
        <v>128</v>
      </c>
      <c r="C7" s="24" t="s">
        <v>50</v>
      </c>
      <c r="D7" s="24" t="s">
        <v>58</v>
      </c>
      <c r="E7" s="13" t="n">
        <v>50000</v>
      </c>
      <c r="F7" s="24" t="n">
        <v>2</v>
      </c>
      <c r="G7" s="24" t="n">
        <v>1</v>
      </c>
      <c r="H7" s="24" t="n">
        <v>0</v>
      </c>
      <c r="I7" s="24" t="s">
        <v>67</v>
      </c>
      <c r="J7" s="24" t="n">
        <v>2</v>
      </c>
      <c r="K7" s="28" t="n">
        <f aca="false">IF($B7="","",IFERROR(INDEX(Parametros!$C$8:$C$11,MATCH($C7,Parametros!$B$8:$B$11,0))*INDEX(Parametros!$C$15:$C$17,MATCH($D7,Parametros!$B$15:$B$17,0)),0)+$F7*Parametros!$C$38+$G7*Parametros!$C$39+$H7*Parametros!$C$40+IFERROR(INDEX(Parametros!$C$21:$C$25,MATCH($I7,Parametros!$B$21:$B$25,0)),0)+$J7*AVERAGE(Parametros!$C$29:$C$35)+IFERROR(INDEX(Parametros!$C$44:$C$47,MATCH(TRUE(),INDEX(Parametros!$B$44:$B$47&gt;=$E7,0),0)),0))</f>
        <v>8.75</v>
      </c>
      <c r="L7" s="43" t="n">
        <f aca="false">IF($B7="","",K7*'Meu Escritorio'!$C$10)</f>
        <v>765.625</v>
      </c>
      <c r="M7" s="43" t="n">
        <f aca="false">IF($B7="","",K7*'Meu Escritorio'!$C$11)</f>
        <v>995.3125</v>
      </c>
      <c r="N7" s="45" t="n">
        <v>900</v>
      </c>
      <c r="O7" s="35" t="str">
        <f aca="false">IF($B7="","",IF(N7&lt;=0,"Informe o valor cobrado",IF(N7&lt;L7,"ABAIXO DO PISO - prejuizo",IF(N7&lt;M7*0.92,"Margem comprimida",IF(N7&gt;M7*1.15,"Acima do recomendado","Adequado")))))</f>
        <v>Margem comprimida</v>
      </c>
    </row>
    <row r="8" customFormat="false" ht="15" hidden="false" customHeight="false" outlineLevel="0" collapsed="false">
      <c r="B8" s="24"/>
      <c r="C8" s="24"/>
      <c r="D8" s="24"/>
      <c r="E8" s="13"/>
      <c r="F8" s="24"/>
      <c r="G8" s="24"/>
      <c r="H8" s="24"/>
      <c r="I8" s="24"/>
      <c r="J8" s="24"/>
      <c r="K8" s="28" t="str">
        <f aca="false">IF($B8="","",IFERROR(INDEX(Parametros!$C$8:$C$11,MATCH($C8,Parametros!$B$8:$B$11,0))*INDEX(Parametros!$C$15:$C$17,MATCH($D8,Parametros!$B$15:$B$17,0)),0)+$F8*Parametros!$C$38+$G8*Parametros!$C$39+$H8*Parametros!$C$40+IFERROR(INDEX(Parametros!$C$21:$C$25,MATCH($I8,Parametros!$B$21:$B$25,0)),0)+$J8*AVERAGE(Parametros!$C$29:$C$35)+IFERROR(INDEX(Parametros!$C$44:$C$47,MATCH(TRUE(),INDEX(Parametros!$B$44:$B$47&gt;=$E8,0),0)),0))</f>
        <v/>
      </c>
      <c r="L8" s="43" t="str">
        <f aca="false">IF($B8="","",K8*'Meu Escritorio'!$C$10)</f>
        <v/>
      </c>
      <c r="M8" s="43" t="str">
        <f aca="false">IF($B8="","",K8*'Meu Escritorio'!$C$11)</f>
        <v/>
      </c>
      <c r="N8" s="45"/>
      <c r="O8" s="35" t="str">
        <f aca="false">IF($B8="","",IF(N8&lt;=0,"Informe o valor cobrado",IF(N8&lt;L8,"ABAIXO DO PISO - prejuizo",IF(N8&lt;M8*0.92,"Margem comprimida",IF(N8&gt;M8*1.15,"Acima do recomendado","Adequado")))))</f>
        <v/>
      </c>
    </row>
    <row r="9" customFormat="false" ht="15" hidden="false" customHeight="false" outlineLevel="0" collapsed="false">
      <c r="B9" s="24"/>
      <c r="C9" s="24"/>
      <c r="D9" s="24"/>
      <c r="E9" s="13"/>
      <c r="F9" s="24"/>
      <c r="G9" s="24"/>
      <c r="H9" s="24"/>
      <c r="I9" s="24"/>
      <c r="J9" s="24"/>
      <c r="K9" s="28" t="str">
        <f aca="false">IF($B9="","",IFERROR(INDEX(Parametros!$C$8:$C$11,MATCH($C9,Parametros!$B$8:$B$11,0))*INDEX(Parametros!$C$15:$C$17,MATCH($D9,Parametros!$B$15:$B$17,0)),0)+$F9*Parametros!$C$38+$G9*Parametros!$C$39+$H9*Parametros!$C$40+IFERROR(INDEX(Parametros!$C$21:$C$25,MATCH($I9,Parametros!$B$21:$B$25,0)),0)+$J9*AVERAGE(Parametros!$C$29:$C$35)+IFERROR(INDEX(Parametros!$C$44:$C$47,MATCH(TRUE(),INDEX(Parametros!$B$44:$B$47&gt;=$E9,0),0)),0))</f>
        <v/>
      </c>
      <c r="L9" s="43" t="str">
        <f aca="false">IF($B9="","",K9*'Meu Escritorio'!$C$10)</f>
        <v/>
      </c>
      <c r="M9" s="43" t="str">
        <f aca="false">IF($B9="","",K9*'Meu Escritorio'!$C$11)</f>
        <v/>
      </c>
      <c r="N9" s="45"/>
      <c r="O9" s="35" t="str">
        <f aca="false">IF($B9="","",IF(N9&lt;=0,"Informe o valor cobrado",IF(N9&lt;L9,"ABAIXO DO PISO - prejuizo",IF(N9&lt;M9*0.92,"Margem comprimida",IF(N9&gt;M9*1.15,"Acima do recomendado","Adequado")))))</f>
        <v/>
      </c>
    </row>
    <row r="10" customFormat="false" ht="15" hidden="false" customHeight="false" outlineLevel="0" collapsed="false">
      <c r="B10" s="24"/>
      <c r="C10" s="24"/>
      <c r="D10" s="24"/>
      <c r="E10" s="13"/>
      <c r="F10" s="24"/>
      <c r="G10" s="24"/>
      <c r="H10" s="24"/>
      <c r="I10" s="24"/>
      <c r="J10" s="24"/>
      <c r="K10" s="28" t="str">
        <f aca="false">IF($B10="","",IFERROR(INDEX(Parametros!$C$8:$C$11,MATCH($C10,Parametros!$B$8:$B$11,0))*INDEX(Parametros!$C$15:$C$17,MATCH($D10,Parametros!$B$15:$B$17,0)),0)+$F10*Parametros!$C$38+$G10*Parametros!$C$39+$H10*Parametros!$C$40+IFERROR(INDEX(Parametros!$C$21:$C$25,MATCH($I10,Parametros!$B$21:$B$25,0)),0)+$J10*AVERAGE(Parametros!$C$29:$C$35)+IFERROR(INDEX(Parametros!$C$44:$C$47,MATCH(TRUE(),INDEX(Parametros!$B$44:$B$47&gt;=$E10,0),0)),0))</f>
        <v/>
      </c>
      <c r="L10" s="43" t="str">
        <f aca="false">IF($B10="","",K10*'Meu Escritorio'!$C$10)</f>
        <v/>
      </c>
      <c r="M10" s="43" t="str">
        <f aca="false">IF($B10="","",K10*'Meu Escritorio'!$C$11)</f>
        <v/>
      </c>
      <c r="N10" s="45"/>
      <c r="O10" s="35" t="str">
        <f aca="false">IF($B10="","",IF(N10&lt;=0,"Informe o valor cobrado",IF(N10&lt;L10,"ABAIXO DO PISO - prejuizo",IF(N10&lt;M10*0.92,"Margem comprimida",IF(N10&gt;M10*1.15,"Acima do recomendado","Adequado")))))</f>
        <v/>
      </c>
    </row>
    <row r="11" customFormat="false" ht="15" hidden="false" customHeight="false" outlineLevel="0" collapsed="false">
      <c r="B11" s="24"/>
      <c r="C11" s="24"/>
      <c r="D11" s="24"/>
      <c r="E11" s="13"/>
      <c r="F11" s="24"/>
      <c r="G11" s="24"/>
      <c r="H11" s="24"/>
      <c r="I11" s="24"/>
      <c r="J11" s="24"/>
      <c r="K11" s="28" t="str">
        <f aca="false">IF($B11="","",IFERROR(INDEX(Parametros!$C$8:$C$11,MATCH($C11,Parametros!$B$8:$B$11,0))*INDEX(Parametros!$C$15:$C$17,MATCH($D11,Parametros!$B$15:$B$17,0)),0)+$F11*Parametros!$C$38+$G11*Parametros!$C$39+$H11*Parametros!$C$40+IFERROR(INDEX(Parametros!$C$21:$C$25,MATCH($I11,Parametros!$B$21:$B$25,0)),0)+$J11*AVERAGE(Parametros!$C$29:$C$35)+IFERROR(INDEX(Parametros!$C$44:$C$47,MATCH(TRUE(),INDEX(Parametros!$B$44:$B$47&gt;=$E11,0),0)),0))</f>
        <v/>
      </c>
      <c r="L11" s="43" t="str">
        <f aca="false">IF($B11="","",K11*'Meu Escritorio'!$C$10)</f>
        <v/>
      </c>
      <c r="M11" s="43" t="str">
        <f aca="false">IF($B11="","",K11*'Meu Escritorio'!$C$11)</f>
        <v/>
      </c>
      <c r="N11" s="45"/>
      <c r="O11" s="35" t="str">
        <f aca="false">IF($B11="","",IF(N11&lt;=0,"Informe o valor cobrado",IF(N11&lt;L11,"ABAIXO DO PISO - prejuizo",IF(N11&lt;M11*0.92,"Margem comprimida",IF(N11&gt;M11*1.15,"Acima do recomendado","Adequado")))))</f>
        <v/>
      </c>
    </row>
    <row r="12" customFormat="false" ht="15" hidden="false" customHeight="false" outlineLevel="0" collapsed="false">
      <c r="B12" s="24"/>
      <c r="C12" s="24"/>
      <c r="D12" s="24"/>
      <c r="E12" s="13"/>
      <c r="F12" s="24"/>
      <c r="G12" s="24"/>
      <c r="H12" s="24"/>
      <c r="I12" s="24"/>
      <c r="J12" s="24"/>
      <c r="K12" s="28" t="str">
        <f aca="false">IF($B12="","",IFERROR(INDEX(Parametros!$C$8:$C$11,MATCH($C12,Parametros!$B$8:$B$11,0))*INDEX(Parametros!$C$15:$C$17,MATCH($D12,Parametros!$B$15:$B$17,0)),0)+$F12*Parametros!$C$38+$G12*Parametros!$C$39+$H12*Parametros!$C$40+IFERROR(INDEX(Parametros!$C$21:$C$25,MATCH($I12,Parametros!$B$21:$B$25,0)),0)+$J12*AVERAGE(Parametros!$C$29:$C$35)+IFERROR(INDEX(Parametros!$C$44:$C$47,MATCH(TRUE(),INDEX(Parametros!$B$44:$B$47&gt;=$E12,0),0)),0))</f>
        <v/>
      </c>
      <c r="L12" s="43" t="str">
        <f aca="false">IF($B12="","",K12*'Meu Escritorio'!$C$10)</f>
        <v/>
      </c>
      <c r="M12" s="43" t="str">
        <f aca="false">IF($B12="","",K12*'Meu Escritorio'!$C$11)</f>
        <v/>
      </c>
      <c r="N12" s="45"/>
      <c r="O12" s="35" t="str">
        <f aca="false">IF($B12="","",IF(N12&lt;=0,"Informe o valor cobrado",IF(N12&lt;L12,"ABAIXO DO PISO - prejuizo",IF(N12&lt;M12*0.92,"Margem comprimida",IF(N12&gt;M12*1.15,"Acima do recomendado","Adequado")))))</f>
        <v/>
      </c>
    </row>
    <row r="13" customFormat="false" ht="15" hidden="false" customHeight="false" outlineLevel="0" collapsed="false">
      <c r="B13" s="24"/>
      <c r="C13" s="24"/>
      <c r="D13" s="24"/>
      <c r="E13" s="13"/>
      <c r="F13" s="24"/>
      <c r="G13" s="24"/>
      <c r="H13" s="24"/>
      <c r="I13" s="24"/>
      <c r="J13" s="24"/>
      <c r="K13" s="28" t="str">
        <f aca="false">IF($B13="","",IFERROR(INDEX(Parametros!$C$8:$C$11,MATCH($C13,Parametros!$B$8:$B$11,0))*INDEX(Parametros!$C$15:$C$17,MATCH($D13,Parametros!$B$15:$B$17,0)),0)+$F13*Parametros!$C$38+$G13*Parametros!$C$39+$H13*Parametros!$C$40+IFERROR(INDEX(Parametros!$C$21:$C$25,MATCH($I13,Parametros!$B$21:$B$25,0)),0)+$J13*AVERAGE(Parametros!$C$29:$C$35)+IFERROR(INDEX(Parametros!$C$44:$C$47,MATCH(TRUE(),INDEX(Parametros!$B$44:$B$47&gt;=$E13,0),0)),0))</f>
        <v/>
      </c>
      <c r="L13" s="43" t="str">
        <f aca="false">IF($B13="","",K13*'Meu Escritorio'!$C$10)</f>
        <v/>
      </c>
      <c r="M13" s="43" t="str">
        <f aca="false">IF($B13="","",K13*'Meu Escritorio'!$C$11)</f>
        <v/>
      </c>
      <c r="N13" s="45"/>
      <c r="O13" s="35" t="str">
        <f aca="false">IF($B13="","",IF(N13&lt;=0,"Informe o valor cobrado",IF(N13&lt;L13,"ABAIXO DO PISO - prejuizo",IF(N13&lt;M13*0.92,"Margem comprimida",IF(N13&gt;M13*1.15,"Acima do recomendado","Adequado")))))</f>
        <v/>
      </c>
    </row>
    <row r="14" customFormat="false" ht="15" hidden="false" customHeight="false" outlineLevel="0" collapsed="false">
      <c r="B14" s="24"/>
      <c r="C14" s="24"/>
      <c r="D14" s="24"/>
      <c r="E14" s="13"/>
      <c r="F14" s="24"/>
      <c r="G14" s="24"/>
      <c r="H14" s="24"/>
      <c r="I14" s="24"/>
      <c r="J14" s="24"/>
      <c r="K14" s="28" t="str">
        <f aca="false">IF($B14="","",IFERROR(INDEX(Parametros!$C$8:$C$11,MATCH($C14,Parametros!$B$8:$B$11,0))*INDEX(Parametros!$C$15:$C$17,MATCH($D14,Parametros!$B$15:$B$17,0)),0)+$F14*Parametros!$C$38+$G14*Parametros!$C$39+$H14*Parametros!$C$40+IFERROR(INDEX(Parametros!$C$21:$C$25,MATCH($I14,Parametros!$B$21:$B$25,0)),0)+$J14*AVERAGE(Parametros!$C$29:$C$35)+IFERROR(INDEX(Parametros!$C$44:$C$47,MATCH(TRUE(),INDEX(Parametros!$B$44:$B$47&gt;=$E14,0),0)),0))</f>
        <v/>
      </c>
      <c r="L14" s="43" t="str">
        <f aca="false">IF($B14="","",K14*'Meu Escritorio'!$C$10)</f>
        <v/>
      </c>
      <c r="M14" s="43" t="str">
        <f aca="false">IF($B14="","",K14*'Meu Escritorio'!$C$11)</f>
        <v/>
      </c>
      <c r="N14" s="45"/>
      <c r="O14" s="35" t="str">
        <f aca="false">IF($B14="","",IF(N14&lt;=0,"Informe o valor cobrado",IF(N14&lt;L14,"ABAIXO DO PISO - prejuizo",IF(N14&lt;M14*0.92,"Margem comprimida",IF(N14&gt;M14*1.15,"Acima do recomendado","Adequado")))))</f>
        <v/>
      </c>
    </row>
    <row r="15" customFormat="false" ht="15" hidden="false" customHeight="false" outlineLevel="0" collapsed="false">
      <c r="B15" s="24"/>
      <c r="C15" s="24"/>
      <c r="D15" s="24"/>
      <c r="E15" s="13"/>
      <c r="F15" s="24"/>
      <c r="G15" s="24"/>
      <c r="H15" s="24"/>
      <c r="I15" s="24"/>
      <c r="J15" s="24"/>
      <c r="K15" s="28" t="str">
        <f aca="false">IF($B15="","",IFERROR(INDEX(Parametros!$C$8:$C$11,MATCH($C15,Parametros!$B$8:$B$11,0))*INDEX(Parametros!$C$15:$C$17,MATCH($D15,Parametros!$B$15:$B$17,0)),0)+$F15*Parametros!$C$38+$G15*Parametros!$C$39+$H15*Parametros!$C$40+IFERROR(INDEX(Parametros!$C$21:$C$25,MATCH($I15,Parametros!$B$21:$B$25,0)),0)+$J15*AVERAGE(Parametros!$C$29:$C$35)+IFERROR(INDEX(Parametros!$C$44:$C$47,MATCH(TRUE(),INDEX(Parametros!$B$44:$B$47&gt;=$E15,0),0)),0))</f>
        <v/>
      </c>
      <c r="L15" s="43" t="str">
        <f aca="false">IF($B15="","",K15*'Meu Escritorio'!$C$10)</f>
        <v/>
      </c>
      <c r="M15" s="43" t="str">
        <f aca="false">IF($B15="","",K15*'Meu Escritorio'!$C$11)</f>
        <v/>
      </c>
      <c r="N15" s="45"/>
      <c r="O15" s="35" t="str">
        <f aca="false">IF($B15="","",IF(N15&lt;=0,"Informe o valor cobrado",IF(N15&lt;L15,"ABAIXO DO PISO - prejuizo",IF(N15&lt;M15*0.92,"Margem comprimida",IF(N15&gt;M15*1.15,"Acima do recomendado","Adequado")))))</f>
        <v/>
      </c>
    </row>
    <row r="16" customFormat="false" ht="15" hidden="false" customHeight="false" outlineLevel="0" collapsed="false">
      <c r="B16" s="24"/>
      <c r="C16" s="24"/>
      <c r="D16" s="24"/>
      <c r="E16" s="13"/>
      <c r="F16" s="24"/>
      <c r="G16" s="24"/>
      <c r="H16" s="24"/>
      <c r="I16" s="24"/>
      <c r="J16" s="24"/>
      <c r="K16" s="28" t="str">
        <f aca="false">IF($B16="","",IFERROR(INDEX(Parametros!$C$8:$C$11,MATCH($C16,Parametros!$B$8:$B$11,0))*INDEX(Parametros!$C$15:$C$17,MATCH($D16,Parametros!$B$15:$B$17,0)),0)+$F16*Parametros!$C$38+$G16*Parametros!$C$39+$H16*Parametros!$C$40+IFERROR(INDEX(Parametros!$C$21:$C$25,MATCH($I16,Parametros!$B$21:$B$25,0)),0)+$J16*AVERAGE(Parametros!$C$29:$C$35)+IFERROR(INDEX(Parametros!$C$44:$C$47,MATCH(TRUE(),INDEX(Parametros!$B$44:$B$47&gt;=$E16,0),0)),0))</f>
        <v/>
      </c>
      <c r="L16" s="43" t="str">
        <f aca="false">IF($B16="","",K16*'Meu Escritorio'!$C$10)</f>
        <v/>
      </c>
      <c r="M16" s="43" t="str">
        <f aca="false">IF($B16="","",K16*'Meu Escritorio'!$C$11)</f>
        <v/>
      </c>
      <c r="N16" s="45"/>
      <c r="O16" s="35" t="str">
        <f aca="false">IF($B16="","",IF(N16&lt;=0,"Informe o valor cobrado",IF(N16&lt;L16,"ABAIXO DO PISO - prejuizo",IF(N16&lt;M16*0.92,"Margem comprimida",IF(N16&gt;M16*1.15,"Acima do recomendado","Adequado")))))</f>
        <v/>
      </c>
    </row>
    <row r="17" customFormat="false" ht="15" hidden="false" customHeight="false" outlineLevel="0" collapsed="false">
      <c r="B17" s="24"/>
      <c r="C17" s="24"/>
      <c r="D17" s="24"/>
      <c r="E17" s="13"/>
      <c r="F17" s="24"/>
      <c r="G17" s="24"/>
      <c r="H17" s="24"/>
      <c r="I17" s="24"/>
      <c r="J17" s="24"/>
      <c r="K17" s="28" t="str">
        <f aca="false">IF($B17="","",IFERROR(INDEX(Parametros!$C$8:$C$11,MATCH($C17,Parametros!$B$8:$B$11,0))*INDEX(Parametros!$C$15:$C$17,MATCH($D17,Parametros!$B$15:$B$17,0)),0)+$F17*Parametros!$C$38+$G17*Parametros!$C$39+$H17*Parametros!$C$40+IFERROR(INDEX(Parametros!$C$21:$C$25,MATCH($I17,Parametros!$B$21:$B$25,0)),0)+$J17*AVERAGE(Parametros!$C$29:$C$35)+IFERROR(INDEX(Parametros!$C$44:$C$47,MATCH(TRUE(),INDEX(Parametros!$B$44:$B$47&gt;=$E17,0),0)),0))</f>
        <v/>
      </c>
      <c r="L17" s="43" t="str">
        <f aca="false">IF($B17="","",K17*'Meu Escritorio'!$C$10)</f>
        <v/>
      </c>
      <c r="M17" s="43" t="str">
        <f aca="false">IF($B17="","",K17*'Meu Escritorio'!$C$11)</f>
        <v/>
      </c>
      <c r="N17" s="45"/>
      <c r="O17" s="35" t="str">
        <f aca="false">IF($B17="","",IF(N17&lt;=0,"Informe o valor cobrado",IF(N17&lt;L17,"ABAIXO DO PISO - prejuizo",IF(N17&lt;M17*0.92,"Margem comprimida",IF(N17&gt;M17*1.15,"Acima do recomendado","Adequado")))))</f>
        <v/>
      </c>
    </row>
    <row r="18" customFormat="false" ht="15" hidden="false" customHeight="false" outlineLevel="0" collapsed="false">
      <c r="B18" s="24"/>
      <c r="C18" s="24"/>
      <c r="D18" s="24"/>
      <c r="E18" s="13"/>
      <c r="F18" s="24"/>
      <c r="G18" s="24"/>
      <c r="H18" s="24"/>
      <c r="I18" s="24"/>
      <c r="J18" s="24"/>
      <c r="K18" s="28" t="str">
        <f aca="false">IF($B18="","",IFERROR(INDEX(Parametros!$C$8:$C$11,MATCH($C18,Parametros!$B$8:$B$11,0))*INDEX(Parametros!$C$15:$C$17,MATCH($D18,Parametros!$B$15:$B$17,0)),0)+$F18*Parametros!$C$38+$G18*Parametros!$C$39+$H18*Parametros!$C$40+IFERROR(INDEX(Parametros!$C$21:$C$25,MATCH($I18,Parametros!$B$21:$B$25,0)),0)+$J18*AVERAGE(Parametros!$C$29:$C$35)+IFERROR(INDEX(Parametros!$C$44:$C$47,MATCH(TRUE(),INDEX(Parametros!$B$44:$B$47&gt;=$E18,0),0)),0))</f>
        <v/>
      </c>
      <c r="L18" s="43" t="str">
        <f aca="false">IF($B18="","",K18*'Meu Escritorio'!$C$10)</f>
        <v/>
      </c>
      <c r="M18" s="43" t="str">
        <f aca="false">IF($B18="","",K18*'Meu Escritorio'!$C$11)</f>
        <v/>
      </c>
      <c r="N18" s="45"/>
      <c r="O18" s="35" t="str">
        <f aca="false">IF($B18="","",IF(N18&lt;=0,"Informe o valor cobrado",IF(N18&lt;L18,"ABAIXO DO PISO - prejuizo",IF(N18&lt;M18*0.92,"Margem comprimida",IF(N18&gt;M18*1.15,"Acima do recomendado","Adequado")))))</f>
        <v/>
      </c>
    </row>
    <row r="19" customFormat="false" ht="15" hidden="false" customHeight="false" outlineLevel="0" collapsed="false">
      <c r="B19" s="24"/>
      <c r="C19" s="24"/>
      <c r="D19" s="24"/>
      <c r="E19" s="13"/>
      <c r="F19" s="24"/>
      <c r="G19" s="24"/>
      <c r="H19" s="24"/>
      <c r="I19" s="24"/>
      <c r="J19" s="24"/>
      <c r="K19" s="28" t="str">
        <f aca="false">IF($B19="","",IFERROR(INDEX(Parametros!$C$8:$C$11,MATCH($C19,Parametros!$B$8:$B$11,0))*INDEX(Parametros!$C$15:$C$17,MATCH($D19,Parametros!$B$15:$B$17,0)),0)+$F19*Parametros!$C$38+$G19*Parametros!$C$39+$H19*Parametros!$C$40+IFERROR(INDEX(Parametros!$C$21:$C$25,MATCH($I19,Parametros!$B$21:$B$25,0)),0)+$J19*AVERAGE(Parametros!$C$29:$C$35)+IFERROR(INDEX(Parametros!$C$44:$C$47,MATCH(TRUE(),INDEX(Parametros!$B$44:$B$47&gt;=$E19,0),0)),0))</f>
        <v/>
      </c>
      <c r="L19" s="43" t="str">
        <f aca="false">IF($B19="","",K19*'Meu Escritorio'!$C$10)</f>
        <v/>
      </c>
      <c r="M19" s="43" t="str">
        <f aca="false">IF($B19="","",K19*'Meu Escritorio'!$C$11)</f>
        <v/>
      </c>
      <c r="N19" s="45"/>
      <c r="O19" s="35" t="str">
        <f aca="false">IF($B19="","",IF(N19&lt;=0,"Informe o valor cobrado",IF(N19&lt;L19,"ABAIXO DO PISO - prejuizo",IF(N19&lt;M19*0.92,"Margem comprimida",IF(N19&gt;M19*1.15,"Acima do recomendado","Adequado")))))</f>
        <v/>
      </c>
    </row>
    <row r="20" customFormat="false" ht="15" hidden="false" customHeight="false" outlineLevel="0" collapsed="false">
      <c r="B20" s="24"/>
      <c r="C20" s="24"/>
      <c r="D20" s="24"/>
      <c r="E20" s="13"/>
      <c r="F20" s="24"/>
      <c r="G20" s="24"/>
      <c r="H20" s="24"/>
      <c r="I20" s="24"/>
      <c r="J20" s="24"/>
      <c r="K20" s="28" t="str">
        <f aca="false">IF($B20="","",IFERROR(INDEX(Parametros!$C$8:$C$11,MATCH($C20,Parametros!$B$8:$B$11,0))*INDEX(Parametros!$C$15:$C$17,MATCH($D20,Parametros!$B$15:$B$17,0)),0)+$F20*Parametros!$C$38+$G20*Parametros!$C$39+$H20*Parametros!$C$40+IFERROR(INDEX(Parametros!$C$21:$C$25,MATCH($I20,Parametros!$B$21:$B$25,0)),0)+$J20*AVERAGE(Parametros!$C$29:$C$35)+IFERROR(INDEX(Parametros!$C$44:$C$47,MATCH(TRUE(),INDEX(Parametros!$B$44:$B$47&gt;=$E20,0),0)),0))</f>
        <v/>
      </c>
      <c r="L20" s="43" t="str">
        <f aca="false">IF($B20="","",K20*'Meu Escritorio'!$C$10)</f>
        <v/>
      </c>
      <c r="M20" s="43" t="str">
        <f aca="false">IF($B20="","",K20*'Meu Escritorio'!$C$11)</f>
        <v/>
      </c>
      <c r="N20" s="45"/>
      <c r="O20" s="35" t="str">
        <f aca="false">IF($B20="","",IF(N20&lt;=0,"Informe o valor cobrado",IF(N20&lt;L20,"ABAIXO DO PISO - prejuizo",IF(N20&lt;M20*0.92,"Margem comprimida",IF(N20&gt;M20*1.15,"Acima do recomendado","Adequado")))))</f>
        <v/>
      </c>
    </row>
    <row r="21" customFormat="false" ht="15" hidden="false" customHeight="false" outlineLevel="0" collapsed="false">
      <c r="B21" s="24"/>
      <c r="C21" s="24"/>
      <c r="D21" s="24"/>
      <c r="E21" s="13"/>
      <c r="F21" s="24"/>
      <c r="G21" s="24"/>
      <c r="H21" s="24"/>
      <c r="I21" s="24"/>
      <c r="J21" s="24"/>
      <c r="K21" s="28" t="str">
        <f aca="false">IF($B21="","",IFERROR(INDEX(Parametros!$C$8:$C$11,MATCH($C21,Parametros!$B$8:$B$11,0))*INDEX(Parametros!$C$15:$C$17,MATCH($D21,Parametros!$B$15:$B$17,0)),0)+$F21*Parametros!$C$38+$G21*Parametros!$C$39+$H21*Parametros!$C$40+IFERROR(INDEX(Parametros!$C$21:$C$25,MATCH($I21,Parametros!$B$21:$B$25,0)),0)+$J21*AVERAGE(Parametros!$C$29:$C$35)+IFERROR(INDEX(Parametros!$C$44:$C$47,MATCH(TRUE(),INDEX(Parametros!$B$44:$B$47&gt;=$E21,0),0)),0))</f>
        <v/>
      </c>
      <c r="L21" s="43" t="str">
        <f aca="false">IF($B21="","",K21*'Meu Escritorio'!$C$10)</f>
        <v/>
      </c>
      <c r="M21" s="43" t="str">
        <f aca="false">IF($B21="","",K21*'Meu Escritorio'!$C$11)</f>
        <v/>
      </c>
      <c r="N21" s="45"/>
      <c r="O21" s="35" t="str">
        <f aca="false">IF($B21="","",IF(N21&lt;=0,"Informe o valor cobrado",IF(N21&lt;L21,"ABAIXO DO PISO - prejuizo",IF(N21&lt;M21*0.92,"Margem comprimida",IF(N21&gt;M21*1.15,"Acima do recomendado","Adequado")))))</f>
        <v/>
      </c>
    </row>
    <row r="22" customFormat="false" ht="15" hidden="false" customHeight="false" outlineLevel="0" collapsed="false">
      <c r="B22" s="24"/>
      <c r="C22" s="24"/>
      <c r="D22" s="24"/>
      <c r="E22" s="13"/>
      <c r="F22" s="24"/>
      <c r="G22" s="24"/>
      <c r="H22" s="24"/>
      <c r="I22" s="24"/>
      <c r="J22" s="24"/>
      <c r="K22" s="28" t="str">
        <f aca="false">IF($B22="","",IFERROR(INDEX(Parametros!$C$8:$C$11,MATCH($C22,Parametros!$B$8:$B$11,0))*INDEX(Parametros!$C$15:$C$17,MATCH($D22,Parametros!$B$15:$B$17,0)),0)+$F22*Parametros!$C$38+$G22*Parametros!$C$39+$H22*Parametros!$C$40+IFERROR(INDEX(Parametros!$C$21:$C$25,MATCH($I22,Parametros!$B$21:$B$25,0)),0)+$J22*AVERAGE(Parametros!$C$29:$C$35)+IFERROR(INDEX(Parametros!$C$44:$C$47,MATCH(TRUE(),INDEX(Parametros!$B$44:$B$47&gt;=$E22,0),0)),0))</f>
        <v/>
      </c>
      <c r="L22" s="43" t="str">
        <f aca="false">IF($B22="","",K22*'Meu Escritorio'!$C$10)</f>
        <v/>
      </c>
      <c r="M22" s="43" t="str">
        <f aca="false">IF($B22="","",K22*'Meu Escritorio'!$C$11)</f>
        <v/>
      </c>
      <c r="N22" s="45"/>
      <c r="O22" s="35" t="str">
        <f aca="false">IF($B22="","",IF(N22&lt;=0,"Informe o valor cobrado",IF(N22&lt;L22,"ABAIXO DO PISO - prejuizo",IF(N22&lt;M22*0.92,"Margem comprimida",IF(N22&gt;M22*1.15,"Acima do recomendado","Adequado")))))</f>
        <v/>
      </c>
    </row>
    <row r="23" customFormat="false" ht="15" hidden="false" customHeight="false" outlineLevel="0" collapsed="false">
      <c r="B23" s="24"/>
      <c r="C23" s="24"/>
      <c r="D23" s="24"/>
      <c r="E23" s="13"/>
      <c r="F23" s="24"/>
      <c r="G23" s="24"/>
      <c r="H23" s="24"/>
      <c r="I23" s="24"/>
      <c r="J23" s="24"/>
      <c r="K23" s="28" t="str">
        <f aca="false">IF($B23="","",IFERROR(INDEX(Parametros!$C$8:$C$11,MATCH($C23,Parametros!$B$8:$B$11,0))*INDEX(Parametros!$C$15:$C$17,MATCH($D23,Parametros!$B$15:$B$17,0)),0)+$F23*Parametros!$C$38+$G23*Parametros!$C$39+$H23*Parametros!$C$40+IFERROR(INDEX(Parametros!$C$21:$C$25,MATCH($I23,Parametros!$B$21:$B$25,0)),0)+$J23*AVERAGE(Parametros!$C$29:$C$35)+IFERROR(INDEX(Parametros!$C$44:$C$47,MATCH(TRUE(),INDEX(Parametros!$B$44:$B$47&gt;=$E23,0),0)),0))</f>
        <v/>
      </c>
      <c r="L23" s="43" t="str">
        <f aca="false">IF($B23="","",K23*'Meu Escritorio'!$C$10)</f>
        <v/>
      </c>
      <c r="M23" s="43" t="str">
        <f aca="false">IF($B23="","",K23*'Meu Escritorio'!$C$11)</f>
        <v/>
      </c>
      <c r="N23" s="45"/>
      <c r="O23" s="35" t="str">
        <f aca="false">IF($B23="","",IF(N23&lt;=0,"Informe o valor cobrado",IF(N23&lt;L23,"ABAIXO DO PISO - prejuizo",IF(N23&lt;M23*0.92,"Margem comprimida",IF(N23&gt;M23*1.15,"Acima do recomendado","Adequado")))))</f>
        <v/>
      </c>
    </row>
    <row r="24" customFormat="false" ht="15" hidden="false" customHeight="false" outlineLevel="0" collapsed="false">
      <c r="B24" s="24"/>
      <c r="C24" s="24"/>
      <c r="D24" s="24"/>
      <c r="E24" s="13"/>
      <c r="F24" s="24"/>
      <c r="G24" s="24"/>
      <c r="H24" s="24"/>
      <c r="I24" s="24"/>
      <c r="J24" s="24"/>
      <c r="K24" s="28" t="str">
        <f aca="false">IF($B24="","",IFERROR(INDEX(Parametros!$C$8:$C$11,MATCH($C24,Parametros!$B$8:$B$11,0))*INDEX(Parametros!$C$15:$C$17,MATCH($D24,Parametros!$B$15:$B$17,0)),0)+$F24*Parametros!$C$38+$G24*Parametros!$C$39+$H24*Parametros!$C$40+IFERROR(INDEX(Parametros!$C$21:$C$25,MATCH($I24,Parametros!$B$21:$B$25,0)),0)+$J24*AVERAGE(Parametros!$C$29:$C$35)+IFERROR(INDEX(Parametros!$C$44:$C$47,MATCH(TRUE(),INDEX(Parametros!$B$44:$B$47&gt;=$E24,0),0)),0))</f>
        <v/>
      </c>
      <c r="L24" s="43" t="str">
        <f aca="false">IF($B24="","",K24*'Meu Escritorio'!$C$10)</f>
        <v/>
      </c>
      <c r="M24" s="43" t="str">
        <f aca="false">IF($B24="","",K24*'Meu Escritorio'!$C$11)</f>
        <v/>
      </c>
      <c r="N24" s="45"/>
      <c r="O24" s="35" t="str">
        <f aca="false">IF($B24="","",IF(N24&lt;=0,"Informe o valor cobrado",IF(N24&lt;L24,"ABAIXO DO PISO - prejuizo",IF(N24&lt;M24*0.92,"Margem comprimida",IF(N24&gt;M24*1.15,"Acima do recomendado","Adequado")))))</f>
        <v/>
      </c>
    </row>
    <row r="25" customFormat="false" ht="15" hidden="false" customHeight="false" outlineLevel="0" collapsed="false">
      <c r="B25" s="24"/>
      <c r="C25" s="24"/>
      <c r="D25" s="24"/>
      <c r="E25" s="13"/>
      <c r="F25" s="24"/>
      <c r="G25" s="24"/>
      <c r="H25" s="24"/>
      <c r="I25" s="24"/>
      <c r="J25" s="24"/>
      <c r="K25" s="28" t="str">
        <f aca="false">IF($B25="","",IFERROR(INDEX(Parametros!$C$8:$C$11,MATCH($C25,Parametros!$B$8:$B$11,0))*INDEX(Parametros!$C$15:$C$17,MATCH($D25,Parametros!$B$15:$B$17,0)),0)+$F25*Parametros!$C$38+$G25*Parametros!$C$39+$H25*Parametros!$C$40+IFERROR(INDEX(Parametros!$C$21:$C$25,MATCH($I25,Parametros!$B$21:$B$25,0)),0)+$J25*AVERAGE(Parametros!$C$29:$C$35)+IFERROR(INDEX(Parametros!$C$44:$C$47,MATCH(TRUE(),INDEX(Parametros!$B$44:$B$47&gt;=$E25,0),0)),0))</f>
        <v/>
      </c>
      <c r="L25" s="43" t="str">
        <f aca="false">IF($B25="","",K25*'Meu Escritorio'!$C$10)</f>
        <v/>
      </c>
      <c r="M25" s="43" t="str">
        <f aca="false">IF($B25="","",K25*'Meu Escritorio'!$C$11)</f>
        <v/>
      </c>
      <c r="N25" s="45"/>
      <c r="O25" s="35" t="str">
        <f aca="false">IF($B25="","",IF(N25&lt;=0,"Informe o valor cobrado",IF(N25&lt;L25,"ABAIXO DO PISO - prejuizo",IF(N25&lt;M25*0.92,"Margem comprimida",IF(N25&gt;M25*1.15,"Acima do recomendado","Adequado")))))</f>
        <v/>
      </c>
    </row>
    <row r="26" customFormat="false" ht="15" hidden="false" customHeight="false" outlineLevel="0" collapsed="false">
      <c r="B26" s="24"/>
      <c r="C26" s="24"/>
      <c r="D26" s="24"/>
      <c r="E26" s="13"/>
      <c r="F26" s="24"/>
      <c r="G26" s="24"/>
      <c r="H26" s="24"/>
      <c r="I26" s="24"/>
      <c r="J26" s="24"/>
      <c r="K26" s="28" t="str">
        <f aca="false">IF($B26="","",IFERROR(INDEX(Parametros!$C$8:$C$11,MATCH($C26,Parametros!$B$8:$B$11,0))*INDEX(Parametros!$C$15:$C$17,MATCH($D26,Parametros!$B$15:$B$17,0)),0)+$F26*Parametros!$C$38+$G26*Parametros!$C$39+$H26*Parametros!$C$40+IFERROR(INDEX(Parametros!$C$21:$C$25,MATCH($I26,Parametros!$B$21:$B$25,0)),0)+$J26*AVERAGE(Parametros!$C$29:$C$35)+IFERROR(INDEX(Parametros!$C$44:$C$47,MATCH(TRUE(),INDEX(Parametros!$B$44:$B$47&gt;=$E26,0),0)),0))</f>
        <v/>
      </c>
      <c r="L26" s="43" t="str">
        <f aca="false">IF($B26="","",K26*'Meu Escritorio'!$C$10)</f>
        <v/>
      </c>
      <c r="M26" s="43" t="str">
        <f aca="false">IF($B26="","",K26*'Meu Escritorio'!$C$11)</f>
        <v/>
      </c>
      <c r="N26" s="45"/>
      <c r="O26" s="35" t="str">
        <f aca="false">IF($B26="","",IF(N26&lt;=0,"Informe o valor cobrado",IF(N26&lt;L26,"ABAIXO DO PISO - prejuizo",IF(N26&lt;M26*0.92,"Margem comprimida",IF(N26&gt;M26*1.15,"Acima do recomendado","Adequado")))))</f>
        <v/>
      </c>
    </row>
    <row r="27" customFormat="false" ht="15" hidden="false" customHeight="false" outlineLevel="0" collapsed="false">
      <c r="B27" s="24"/>
      <c r="C27" s="24"/>
      <c r="D27" s="24"/>
      <c r="E27" s="13"/>
      <c r="F27" s="24"/>
      <c r="G27" s="24"/>
      <c r="H27" s="24"/>
      <c r="I27" s="24"/>
      <c r="J27" s="24"/>
      <c r="K27" s="28" t="str">
        <f aca="false">IF($B27="","",IFERROR(INDEX(Parametros!$C$8:$C$11,MATCH($C27,Parametros!$B$8:$B$11,0))*INDEX(Parametros!$C$15:$C$17,MATCH($D27,Parametros!$B$15:$B$17,0)),0)+$F27*Parametros!$C$38+$G27*Parametros!$C$39+$H27*Parametros!$C$40+IFERROR(INDEX(Parametros!$C$21:$C$25,MATCH($I27,Parametros!$B$21:$B$25,0)),0)+$J27*AVERAGE(Parametros!$C$29:$C$35)+IFERROR(INDEX(Parametros!$C$44:$C$47,MATCH(TRUE(),INDEX(Parametros!$B$44:$B$47&gt;=$E27,0),0)),0))</f>
        <v/>
      </c>
      <c r="L27" s="43" t="str">
        <f aca="false">IF($B27="","",K27*'Meu Escritorio'!$C$10)</f>
        <v/>
      </c>
      <c r="M27" s="43" t="str">
        <f aca="false">IF($B27="","",K27*'Meu Escritorio'!$C$11)</f>
        <v/>
      </c>
      <c r="N27" s="45"/>
      <c r="O27" s="35" t="str">
        <f aca="false">IF($B27="","",IF(N27&lt;=0,"Informe o valor cobrado",IF(N27&lt;L27,"ABAIXO DO PISO - prejuizo",IF(N27&lt;M27*0.92,"Margem comprimida",IF(N27&gt;M27*1.15,"Acima do recomendado","Adequado")))))</f>
        <v/>
      </c>
    </row>
    <row r="28" customFormat="false" ht="15" hidden="false" customHeight="false" outlineLevel="0" collapsed="false">
      <c r="B28" s="24"/>
      <c r="C28" s="24"/>
      <c r="D28" s="24"/>
      <c r="E28" s="13"/>
      <c r="F28" s="24"/>
      <c r="G28" s="24"/>
      <c r="H28" s="24"/>
      <c r="I28" s="24"/>
      <c r="J28" s="24"/>
      <c r="K28" s="28" t="str">
        <f aca="false">IF($B28="","",IFERROR(INDEX(Parametros!$C$8:$C$11,MATCH($C28,Parametros!$B$8:$B$11,0))*INDEX(Parametros!$C$15:$C$17,MATCH($D28,Parametros!$B$15:$B$17,0)),0)+$F28*Parametros!$C$38+$G28*Parametros!$C$39+$H28*Parametros!$C$40+IFERROR(INDEX(Parametros!$C$21:$C$25,MATCH($I28,Parametros!$B$21:$B$25,0)),0)+$J28*AVERAGE(Parametros!$C$29:$C$35)+IFERROR(INDEX(Parametros!$C$44:$C$47,MATCH(TRUE(),INDEX(Parametros!$B$44:$B$47&gt;=$E28,0),0)),0))</f>
        <v/>
      </c>
      <c r="L28" s="43" t="str">
        <f aca="false">IF($B28="","",K28*'Meu Escritorio'!$C$10)</f>
        <v/>
      </c>
      <c r="M28" s="43" t="str">
        <f aca="false">IF($B28="","",K28*'Meu Escritorio'!$C$11)</f>
        <v/>
      </c>
      <c r="N28" s="45"/>
      <c r="O28" s="35" t="str">
        <f aca="false">IF($B28="","",IF(N28&lt;=0,"Informe o valor cobrado",IF(N28&lt;L28,"ABAIXO DO PISO - prejuizo",IF(N28&lt;M28*0.92,"Margem comprimida",IF(N28&gt;M28*1.15,"Acima do recomendado","Adequado")))))</f>
        <v/>
      </c>
    </row>
    <row r="29" customFormat="false" ht="15" hidden="false" customHeight="false" outlineLevel="0" collapsed="false">
      <c r="B29" s="24"/>
      <c r="C29" s="24"/>
      <c r="D29" s="24"/>
      <c r="E29" s="13"/>
      <c r="F29" s="24"/>
      <c r="G29" s="24"/>
      <c r="H29" s="24"/>
      <c r="I29" s="24"/>
      <c r="J29" s="24"/>
      <c r="K29" s="28" t="str">
        <f aca="false">IF($B29="","",IFERROR(INDEX(Parametros!$C$8:$C$11,MATCH($C29,Parametros!$B$8:$B$11,0))*INDEX(Parametros!$C$15:$C$17,MATCH($D29,Parametros!$B$15:$B$17,0)),0)+$F29*Parametros!$C$38+$G29*Parametros!$C$39+$H29*Parametros!$C$40+IFERROR(INDEX(Parametros!$C$21:$C$25,MATCH($I29,Parametros!$B$21:$B$25,0)),0)+$J29*AVERAGE(Parametros!$C$29:$C$35)+IFERROR(INDEX(Parametros!$C$44:$C$47,MATCH(TRUE(),INDEX(Parametros!$B$44:$B$47&gt;=$E29,0),0)),0))</f>
        <v/>
      </c>
      <c r="L29" s="43" t="str">
        <f aca="false">IF($B29="","",K29*'Meu Escritorio'!$C$10)</f>
        <v/>
      </c>
      <c r="M29" s="43" t="str">
        <f aca="false">IF($B29="","",K29*'Meu Escritorio'!$C$11)</f>
        <v/>
      </c>
      <c r="N29" s="45"/>
      <c r="O29" s="35" t="str">
        <f aca="false">IF($B29="","",IF(N29&lt;=0,"Informe o valor cobrado",IF(N29&lt;L29,"ABAIXO DO PISO - prejuizo",IF(N29&lt;M29*0.92,"Margem comprimida",IF(N29&gt;M29*1.15,"Acima do recomendado","Adequado")))))</f>
        <v/>
      </c>
    </row>
    <row r="30" customFormat="false" ht="15" hidden="false" customHeight="false" outlineLevel="0" collapsed="false">
      <c r="B30" s="24"/>
      <c r="C30" s="24"/>
      <c r="D30" s="24"/>
      <c r="E30" s="13"/>
      <c r="F30" s="24"/>
      <c r="G30" s="24"/>
      <c r="H30" s="24"/>
      <c r="I30" s="24"/>
      <c r="J30" s="24"/>
      <c r="K30" s="28" t="str">
        <f aca="false">IF($B30="","",IFERROR(INDEX(Parametros!$C$8:$C$11,MATCH($C30,Parametros!$B$8:$B$11,0))*INDEX(Parametros!$C$15:$C$17,MATCH($D30,Parametros!$B$15:$B$17,0)),0)+$F30*Parametros!$C$38+$G30*Parametros!$C$39+$H30*Parametros!$C$40+IFERROR(INDEX(Parametros!$C$21:$C$25,MATCH($I30,Parametros!$B$21:$B$25,0)),0)+$J30*AVERAGE(Parametros!$C$29:$C$35)+IFERROR(INDEX(Parametros!$C$44:$C$47,MATCH(TRUE(),INDEX(Parametros!$B$44:$B$47&gt;=$E30,0),0)),0))</f>
        <v/>
      </c>
      <c r="L30" s="43" t="str">
        <f aca="false">IF($B30="","",K30*'Meu Escritorio'!$C$10)</f>
        <v/>
      </c>
      <c r="M30" s="43" t="str">
        <f aca="false">IF($B30="","",K30*'Meu Escritorio'!$C$11)</f>
        <v/>
      </c>
      <c r="N30" s="45"/>
      <c r="O30" s="35" t="str">
        <f aca="false">IF($B30="","",IF(N30&lt;=0,"Informe o valor cobrado",IF(N30&lt;L30,"ABAIXO DO PISO - prejuizo",IF(N30&lt;M30*0.92,"Margem comprimida",IF(N30&gt;M30*1.15,"Acima do recomendado","Adequado")))))</f>
        <v/>
      </c>
    </row>
    <row r="31" customFormat="false" ht="15" hidden="false" customHeight="false" outlineLevel="0" collapsed="false">
      <c r="B31" s="24"/>
      <c r="C31" s="24"/>
      <c r="D31" s="24"/>
      <c r="E31" s="13"/>
      <c r="F31" s="24"/>
      <c r="G31" s="24"/>
      <c r="H31" s="24"/>
      <c r="I31" s="24"/>
      <c r="J31" s="24"/>
      <c r="K31" s="28" t="str">
        <f aca="false">IF($B31="","",IFERROR(INDEX(Parametros!$C$8:$C$11,MATCH($C31,Parametros!$B$8:$B$11,0))*INDEX(Parametros!$C$15:$C$17,MATCH($D31,Parametros!$B$15:$B$17,0)),0)+$F31*Parametros!$C$38+$G31*Parametros!$C$39+$H31*Parametros!$C$40+IFERROR(INDEX(Parametros!$C$21:$C$25,MATCH($I31,Parametros!$B$21:$B$25,0)),0)+$J31*AVERAGE(Parametros!$C$29:$C$35)+IFERROR(INDEX(Parametros!$C$44:$C$47,MATCH(TRUE(),INDEX(Parametros!$B$44:$B$47&gt;=$E31,0),0)),0))</f>
        <v/>
      </c>
      <c r="L31" s="43" t="str">
        <f aca="false">IF($B31="","",K31*'Meu Escritorio'!$C$10)</f>
        <v/>
      </c>
      <c r="M31" s="43" t="str">
        <f aca="false">IF($B31="","",K31*'Meu Escritorio'!$C$11)</f>
        <v/>
      </c>
      <c r="N31" s="45"/>
      <c r="O31" s="35" t="str">
        <f aca="false">IF($B31="","",IF(N31&lt;=0,"Informe o valor cobrado",IF(N31&lt;L31,"ABAIXO DO PISO - prejuizo",IF(N31&lt;M31*0.92,"Margem comprimida",IF(N31&gt;M31*1.15,"Acima do recomendado","Adequado")))))</f>
        <v/>
      </c>
    </row>
    <row r="32" customFormat="false" ht="15" hidden="false" customHeight="false" outlineLevel="0" collapsed="false">
      <c r="B32" s="24"/>
      <c r="C32" s="24"/>
      <c r="D32" s="24"/>
      <c r="E32" s="13"/>
      <c r="F32" s="24"/>
      <c r="G32" s="24"/>
      <c r="H32" s="24"/>
      <c r="I32" s="24"/>
      <c r="J32" s="24"/>
      <c r="K32" s="28" t="str">
        <f aca="false">IF($B32="","",IFERROR(INDEX(Parametros!$C$8:$C$11,MATCH($C32,Parametros!$B$8:$B$11,0))*INDEX(Parametros!$C$15:$C$17,MATCH($D32,Parametros!$B$15:$B$17,0)),0)+$F32*Parametros!$C$38+$G32*Parametros!$C$39+$H32*Parametros!$C$40+IFERROR(INDEX(Parametros!$C$21:$C$25,MATCH($I32,Parametros!$B$21:$B$25,0)),0)+$J32*AVERAGE(Parametros!$C$29:$C$35)+IFERROR(INDEX(Parametros!$C$44:$C$47,MATCH(TRUE(),INDEX(Parametros!$B$44:$B$47&gt;=$E32,0),0)),0))</f>
        <v/>
      </c>
      <c r="L32" s="43" t="str">
        <f aca="false">IF($B32="","",K32*'Meu Escritorio'!$C$10)</f>
        <v/>
      </c>
      <c r="M32" s="43" t="str">
        <f aca="false">IF($B32="","",K32*'Meu Escritorio'!$C$11)</f>
        <v/>
      </c>
      <c r="N32" s="45"/>
      <c r="O32" s="35" t="str">
        <f aca="false">IF($B32="","",IF(N32&lt;=0,"Informe o valor cobrado",IF(N32&lt;L32,"ABAIXO DO PISO - prejuizo",IF(N32&lt;M32*0.92,"Margem comprimida",IF(N32&gt;M32*1.15,"Acima do recomendado","Adequado")))))</f>
        <v/>
      </c>
    </row>
    <row r="33" customFormat="false" ht="15" hidden="false" customHeight="false" outlineLevel="0" collapsed="false">
      <c r="B33" s="24"/>
      <c r="C33" s="24"/>
      <c r="D33" s="24"/>
      <c r="E33" s="13"/>
      <c r="F33" s="24"/>
      <c r="G33" s="24"/>
      <c r="H33" s="24"/>
      <c r="I33" s="24"/>
      <c r="J33" s="24"/>
      <c r="K33" s="28" t="str">
        <f aca="false">IF($B33="","",IFERROR(INDEX(Parametros!$C$8:$C$11,MATCH($C33,Parametros!$B$8:$B$11,0))*INDEX(Parametros!$C$15:$C$17,MATCH($D33,Parametros!$B$15:$B$17,0)),0)+$F33*Parametros!$C$38+$G33*Parametros!$C$39+$H33*Parametros!$C$40+IFERROR(INDEX(Parametros!$C$21:$C$25,MATCH($I33,Parametros!$B$21:$B$25,0)),0)+$J33*AVERAGE(Parametros!$C$29:$C$35)+IFERROR(INDEX(Parametros!$C$44:$C$47,MATCH(TRUE(),INDEX(Parametros!$B$44:$B$47&gt;=$E33,0),0)),0))</f>
        <v/>
      </c>
      <c r="L33" s="43" t="str">
        <f aca="false">IF($B33="","",K33*'Meu Escritorio'!$C$10)</f>
        <v/>
      </c>
      <c r="M33" s="43" t="str">
        <f aca="false">IF($B33="","",K33*'Meu Escritorio'!$C$11)</f>
        <v/>
      </c>
      <c r="N33" s="45"/>
      <c r="O33" s="35" t="str">
        <f aca="false">IF($B33="","",IF(N33&lt;=0,"Informe o valor cobrado",IF(N33&lt;L33,"ABAIXO DO PISO - prejuizo",IF(N33&lt;M33*0.92,"Margem comprimida",IF(N33&gt;M33*1.15,"Acima do recomendado","Adequado")))))</f>
        <v/>
      </c>
    </row>
    <row r="34" customFormat="false" ht="15" hidden="false" customHeight="false" outlineLevel="0" collapsed="false">
      <c r="B34" s="24"/>
      <c r="C34" s="24"/>
      <c r="D34" s="24"/>
      <c r="E34" s="13"/>
      <c r="F34" s="24"/>
      <c r="G34" s="24"/>
      <c r="H34" s="24"/>
      <c r="I34" s="24"/>
      <c r="J34" s="24"/>
      <c r="K34" s="28" t="str">
        <f aca="false">IF($B34="","",IFERROR(INDEX(Parametros!$C$8:$C$11,MATCH($C34,Parametros!$B$8:$B$11,0))*INDEX(Parametros!$C$15:$C$17,MATCH($D34,Parametros!$B$15:$B$17,0)),0)+$F34*Parametros!$C$38+$G34*Parametros!$C$39+$H34*Parametros!$C$40+IFERROR(INDEX(Parametros!$C$21:$C$25,MATCH($I34,Parametros!$B$21:$B$25,0)),0)+$J34*AVERAGE(Parametros!$C$29:$C$35)+IFERROR(INDEX(Parametros!$C$44:$C$47,MATCH(TRUE(),INDEX(Parametros!$B$44:$B$47&gt;=$E34,0),0)),0))</f>
        <v/>
      </c>
      <c r="L34" s="43" t="str">
        <f aca="false">IF($B34="","",K34*'Meu Escritorio'!$C$10)</f>
        <v/>
      </c>
      <c r="M34" s="43" t="str">
        <f aca="false">IF($B34="","",K34*'Meu Escritorio'!$C$11)</f>
        <v/>
      </c>
      <c r="N34" s="45"/>
      <c r="O34" s="35" t="str">
        <f aca="false">IF($B34="","",IF(N34&lt;=0,"Informe o valor cobrado",IF(N34&lt;L34,"ABAIXO DO PISO - prejuizo",IF(N34&lt;M34*0.92,"Margem comprimida",IF(N34&gt;M34*1.15,"Acima do recomendado","Adequado")))))</f>
        <v/>
      </c>
    </row>
    <row r="35" customFormat="false" ht="15" hidden="false" customHeight="false" outlineLevel="0" collapsed="false">
      <c r="B35" s="24"/>
      <c r="C35" s="24"/>
      <c r="D35" s="24"/>
      <c r="E35" s="13"/>
      <c r="F35" s="24"/>
      <c r="G35" s="24"/>
      <c r="H35" s="24"/>
      <c r="I35" s="24"/>
      <c r="J35" s="24"/>
      <c r="K35" s="28" t="str">
        <f aca="false">IF($B35="","",IFERROR(INDEX(Parametros!$C$8:$C$11,MATCH($C35,Parametros!$B$8:$B$11,0))*INDEX(Parametros!$C$15:$C$17,MATCH($D35,Parametros!$B$15:$B$17,0)),0)+$F35*Parametros!$C$38+$G35*Parametros!$C$39+$H35*Parametros!$C$40+IFERROR(INDEX(Parametros!$C$21:$C$25,MATCH($I35,Parametros!$B$21:$B$25,0)),0)+$J35*AVERAGE(Parametros!$C$29:$C$35)+IFERROR(INDEX(Parametros!$C$44:$C$47,MATCH(TRUE(),INDEX(Parametros!$B$44:$B$47&gt;=$E35,0),0)),0))</f>
        <v/>
      </c>
      <c r="L35" s="43" t="str">
        <f aca="false">IF($B35="","",K35*'Meu Escritorio'!$C$10)</f>
        <v/>
      </c>
      <c r="M35" s="43" t="str">
        <f aca="false">IF($B35="","",K35*'Meu Escritorio'!$C$11)</f>
        <v/>
      </c>
      <c r="N35" s="45"/>
      <c r="O35" s="35" t="str">
        <f aca="false">IF($B35="","",IF(N35&lt;=0,"Informe o valor cobrado",IF(N35&lt;L35,"ABAIXO DO PISO - prejuizo",IF(N35&lt;M35*0.92,"Margem comprimida",IF(N35&gt;M35*1.15,"Acima do recomendado","Adequado")))))</f>
        <v/>
      </c>
    </row>
    <row r="36" customFormat="false" ht="15" hidden="false" customHeight="false" outlineLevel="0" collapsed="false">
      <c r="B36" s="24"/>
      <c r="C36" s="24"/>
      <c r="D36" s="24"/>
      <c r="E36" s="13"/>
      <c r="F36" s="24"/>
      <c r="G36" s="24"/>
      <c r="H36" s="24"/>
      <c r="I36" s="24"/>
      <c r="J36" s="24"/>
      <c r="K36" s="28" t="str">
        <f aca="false">IF($B36="","",IFERROR(INDEX(Parametros!$C$8:$C$11,MATCH($C36,Parametros!$B$8:$B$11,0))*INDEX(Parametros!$C$15:$C$17,MATCH($D36,Parametros!$B$15:$B$17,0)),0)+$F36*Parametros!$C$38+$G36*Parametros!$C$39+$H36*Parametros!$C$40+IFERROR(INDEX(Parametros!$C$21:$C$25,MATCH($I36,Parametros!$B$21:$B$25,0)),0)+$J36*AVERAGE(Parametros!$C$29:$C$35)+IFERROR(INDEX(Parametros!$C$44:$C$47,MATCH(TRUE(),INDEX(Parametros!$B$44:$B$47&gt;=$E36,0),0)),0))</f>
        <v/>
      </c>
      <c r="L36" s="43" t="str">
        <f aca="false">IF($B36="","",K36*'Meu Escritorio'!$C$10)</f>
        <v/>
      </c>
      <c r="M36" s="43" t="str">
        <f aca="false">IF($B36="","",K36*'Meu Escritorio'!$C$11)</f>
        <v/>
      </c>
      <c r="N36" s="45"/>
      <c r="O36" s="35" t="str">
        <f aca="false">IF($B36="","",IF(N36&lt;=0,"Informe o valor cobrado",IF(N36&lt;L36,"ABAIXO DO PISO - prejuizo",IF(N36&lt;M36*0.92,"Margem comprimida",IF(N36&gt;M36*1.15,"Acima do recomendado","Adequado")))))</f>
        <v/>
      </c>
    </row>
    <row r="37" customFormat="false" ht="15" hidden="false" customHeight="false" outlineLevel="0" collapsed="false">
      <c r="B37" s="24"/>
      <c r="C37" s="24"/>
      <c r="D37" s="24"/>
      <c r="E37" s="13"/>
      <c r="F37" s="24"/>
      <c r="G37" s="24"/>
      <c r="H37" s="24"/>
      <c r="I37" s="24"/>
      <c r="J37" s="24"/>
      <c r="K37" s="28" t="str">
        <f aca="false">IF($B37="","",IFERROR(INDEX(Parametros!$C$8:$C$11,MATCH($C37,Parametros!$B$8:$B$11,0))*INDEX(Parametros!$C$15:$C$17,MATCH($D37,Parametros!$B$15:$B$17,0)),0)+$F37*Parametros!$C$38+$G37*Parametros!$C$39+$H37*Parametros!$C$40+IFERROR(INDEX(Parametros!$C$21:$C$25,MATCH($I37,Parametros!$B$21:$B$25,0)),0)+$J37*AVERAGE(Parametros!$C$29:$C$35)+IFERROR(INDEX(Parametros!$C$44:$C$47,MATCH(TRUE(),INDEX(Parametros!$B$44:$B$47&gt;=$E37,0),0)),0))</f>
        <v/>
      </c>
      <c r="L37" s="43" t="str">
        <f aca="false">IF($B37="","",K37*'Meu Escritorio'!$C$10)</f>
        <v/>
      </c>
      <c r="M37" s="43" t="str">
        <f aca="false">IF($B37="","",K37*'Meu Escritorio'!$C$11)</f>
        <v/>
      </c>
      <c r="N37" s="45"/>
      <c r="O37" s="35" t="str">
        <f aca="false">IF($B37="","",IF(N37&lt;=0,"Informe o valor cobrado",IF(N37&lt;L37,"ABAIXO DO PISO - prejuizo",IF(N37&lt;M37*0.92,"Margem comprimida",IF(N37&gt;M37*1.15,"Acima do recomendado","Adequado")))))</f>
        <v/>
      </c>
    </row>
    <row r="38" customFormat="false" ht="15" hidden="false" customHeight="false" outlineLevel="0" collapsed="false">
      <c r="B38" s="24"/>
      <c r="C38" s="24"/>
      <c r="D38" s="24"/>
      <c r="E38" s="13"/>
      <c r="F38" s="24"/>
      <c r="G38" s="24"/>
      <c r="H38" s="24"/>
      <c r="I38" s="24"/>
      <c r="J38" s="24"/>
      <c r="K38" s="28" t="str">
        <f aca="false">IF($B38="","",IFERROR(INDEX(Parametros!$C$8:$C$11,MATCH($C38,Parametros!$B$8:$B$11,0))*INDEX(Parametros!$C$15:$C$17,MATCH($D38,Parametros!$B$15:$B$17,0)),0)+$F38*Parametros!$C$38+$G38*Parametros!$C$39+$H38*Parametros!$C$40+IFERROR(INDEX(Parametros!$C$21:$C$25,MATCH($I38,Parametros!$B$21:$B$25,0)),0)+$J38*AVERAGE(Parametros!$C$29:$C$35)+IFERROR(INDEX(Parametros!$C$44:$C$47,MATCH(TRUE(),INDEX(Parametros!$B$44:$B$47&gt;=$E38,0),0)),0))</f>
        <v/>
      </c>
      <c r="L38" s="43" t="str">
        <f aca="false">IF($B38="","",K38*'Meu Escritorio'!$C$10)</f>
        <v/>
      </c>
      <c r="M38" s="43" t="str">
        <f aca="false">IF($B38="","",K38*'Meu Escritorio'!$C$11)</f>
        <v/>
      </c>
      <c r="N38" s="45"/>
      <c r="O38" s="35" t="str">
        <f aca="false">IF($B38="","",IF(N38&lt;=0,"Informe o valor cobrado",IF(N38&lt;L38,"ABAIXO DO PISO - prejuizo",IF(N38&lt;M38*0.92,"Margem comprimida",IF(N38&gt;M38*1.15,"Acima do recomendado","Adequado")))))</f>
        <v/>
      </c>
    </row>
    <row r="39" customFormat="false" ht="15" hidden="false" customHeight="false" outlineLevel="0" collapsed="false">
      <c r="B39" s="24"/>
      <c r="C39" s="24"/>
      <c r="D39" s="24"/>
      <c r="E39" s="13"/>
      <c r="F39" s="24"/>
      <c r="G39" s="24"/>
      <c r="H39" s="24"/>
      <c r="I39" s="24"/>
      <c r="J39" s="24"/>
      <c r="K39" s="28" t="str">
        <f aca="false">IF($B39="","",IFERROR(INDEX(Parametros!$C$8:$C$11,MATCH($C39,Parametros!$B$8:$B$11,0))*INDEX(Parametros!$C$15:$C$17,MATCH($D39,Parametros!$B$15:$B$17,0)),0)+$F39*Parametros!$C$38+$G39*Parametros!$C$39+$H39*Parametros!$C$40+IFERROR(INDEX(Parametros!$C$21:$C$25,MATCH($I39,Parametros!$B$21:$B$25,0)),0)+$J39*AVERAGE(Parametros!$C$29:$C$35)+IFERROR(INDEX(Parametros!$C$44:$C$47,MATCH(TRUE(),INDEX(Parametros!$B$44:$B$47&gt;=$E39,0),0)),0))</f>
        <v/>
      </c>
      <c r="L39" s="43" t="str">
        <f aca="false">IF($B39="","",K39*'Meu Escritorio'!$C$10)</f>
        <v/>
      </c>
      <c r="M39" s="43" t="str">
        <f aca="false">IF($B39="","",K39*'Meu Escritorio'!$C$11)</f>
        <v/>
      </c>
      <c r="N39" s="45"/>
      <c r="O39" s="35" t="str">
        <f aca="false">IF($B39="","",IF(N39&lt;=0,"Informe o valor cobrado",IF(N39&lt;L39,"ABAIXO DO PISO - prejuizo",IF(N39&lt;M39*0.92,"Margem comprimida",IF(N39&gt;M39*1.15,"Acima do recomendado","Adequado")))))</f>
        <v/>
      </c>
    </row>
    <row r="40" customFormat="false" ht="15" hidden="false" customHeight="false" outlineLevel="0" collapsed="false">
      <c r="B40" s="24"/>
      <c r="C40" s="24"/>
      <c r="D40" s="24"/>
      <c r="E40" s="13"/>
      <c r="F40" s="24"/>
      <c r="G40" s="24"/>
      <c r="H40" s="24"/>
      <c r="I40" s="24"/>
      <c r="J40" s="24"/>
      <c r="K40" s="28" t="str">
        <f aca="false">IF($B40="","",IFERROR(INDEX(Parametros!$C$8:$C$11,MATCH($C40,Parametros!$B$8:$B$11,0))*INDEX(Parametros!$C$15:$C$17,MATCH($D40,Parametros!$B$15:$B$17,0)),0)+$F40*Parametros!$C$38+$G40*Parametros!$C$39+$H40*Parametros!$C$40+IFERROR(INDEX(Parametros!$C$21:$C$25,MATCH($I40,Parametros!$B$21:$B$25,0)),0)+$J40*AVERAGE(Parametros!$C$29:$C$35)+IFERROR(INDEX(Parametros!$C$44:$C$47,MATCH(TRUE(),INDEX(Parametros!$B$44:$B$47&gt;=$E40,0),0)),0))</f>
        <v/>
      </c>
      <c r="L40" s="43" t="str">
        <f aca="false">IF($B40="","",K40*'Meu Escritorio'!$C$10)</f>
        <v/>
      </c>
      <c r="M40" s="43" t="str">
        <f aca="false">IF($B40="","",K40*'Meu Escritorio'!$C$11)</f>
        <v/>
      </c>
      <c r="N40" s="45"/>
      <c r="O40" s="35" t="str">
        <f aca="false">IF($B40="","",IF(N40&lt;=0,"Informe o valor cobrado",IF(N40&lt;L40,"ABAIXO DO PISO - prejuizo",IF(N40&lt;M40*0.92,"Margem comprimida",IF(N40&gt;M40*1.15,"Acima do recomendado","Adequado")))))</f>
        <v/>
      </c>
    </row>
    <row r="41" customFormat="false" ht="15" hidden="false" customHeight="false" outlineLevel="0" collapsed="false">
      <c r="B41" s="24"/>
      <c r="C41" s="24"/>
      <c r="D41" s="24"/>
      <c r="E41" s="13"/>
      <c r="F41" s="24"/>
      <c r="G41" s="24"/>
      <c r="H41" s="24"/>
      <c r="I41" s="24"/>
      <c r="J41" s="24"/>
      <c r="K41" s="28" t="str">
        <f aca="false">IF($B41="","",IFERROR(INDEX(Parametros!$C$8:$C$11,MATCH($C41,Parametros!$B$8:$B$11,0))*INDEX(Parametros!$C$15:$C$17,MATCH($D41,Parametros!$B$15:$B$17,0)),0)+$F41*Parametros!$C$38+$G41*Parametros!$C$39+$H41*Parametros!$C$40+IFERROR(INDEX(Parametros!$C$21:$C$25,MATCH($I41,Parametros!$B$21:$B$25,0)),0)+$J41*AVERAGE(Parametros!$C$29:$C$35)+IFERROR(INDEX(Parametros!$C$44:$C$47,MATCH(TRUE(),INDEX(Parametros!$B$44:$B$47&gt;=$E41,0),0)),0))</f>
        <v/>
      </c>
      <c r="L41" s="43" t="str">
        <f aca="false">IF($B41="","",K41*'Meu Escritorio'!$C$10)</f>
        <v/>
      </c>
      <c r="M41" s="43" t="str">
        <f aca="false">IF($B41="","",K41*'Meu Escritorio'!$C$11)</f>
        <v/>
      </c>
      <c r="N41" s="45"/>
      <c r="O41" s="35" t="str">
        <f aca="false">IF($B41="","",IF(N41&lt;=0,"Informe o valor cobrado",IF(N41&lt;L41,"ABAIXO DO PISO - prejuizo",IF(N41&lt;M41*0.92,"Margem comprimida",IF(N41&gt;M41*1.15,"Acima do recomendado","Adequado")))))</f>
        <v/>
      </c>
    </row>
    <row r="42" customFormat="false" ht="15" hidden="false" customHeight="false" outlineLevel="0" collapsed="false">
      <c r="B42" s="24"/>
      <c r="C42" s="24"/>
      <c r="D42" s="24"/>
      <c r="E42" s="13"/>
      <c r="F42" s="24"/>
      <c r="G42" s="24"/>
      <c r="H42" s="24"/>
      <c r="I42" s="24"/>
      <c r="J42" s="24"/>
      <c r="K42" s="28" t="str">
        <f aca="false">IF($B42="","",IFERROR(INDEX(Parametros!$C$8:$C$11,MATCH($C42,Parametros!$B$8:$B$11,0))*INDEX(Parametros!$C$15:$C$17,MATCH($D42,Parametros!$B$15:$B$17,0)),0)+$F42*Parametros!$C$38+$G42*Parametros!$C$39+$H42*Parametros!$C$40+IFERROR(INDEX(Parametros!$C$21:$C$25,MATCH($I42,Parametros!$B$21:$B$25,0)),0)+$J42*AVERAGE(Parametros!$C$29:$C$35)+IFERROR(INDEX(Parametros!$C$44:$C$47,MATCH(TRUE(),INDEX(Parametros!$B$44:$B$47&gt;=$E42,0),0)),0))</f>
        <v/>
      </c>
      <c r="L42" s="43" t="str">
        <f aca="false">IF($B42="","",K42*'Meu Escritorio'!$C$10)</f>
        <v/>
      </c>
      <c r="M42" s="43" t="str">
        <f aca="false">IF($B42="","",K42*'Meu Escritorio'!$C$11)</f>
        <v/>
      </c>
      <c r="N42" s="45"/>
      <c r="O42" s="35" t="str">
        <f aca="false">IF($B42="","",IF(N42&lt;=0,"Informe o valor cobrado",IF(N42&lt;L42,"ABAIXO DO PISO - prejuizo",IF(N42&lt;M42*0.92,"Margem comprimida",IF(N42&gt;M42*1.15,"Acima do recomendado","Adequado")))))</f>
        <v/>
      </c>
    </row>
    <row r="43" customFormat="false" ht="15" hidden="false" customHeight="false" outlineLevel="0" collapsed="false">
      <c r="B43" s="24"/>
      <c r="C43" s="24"/>
      <c r="D43" s="24"/>
      <c r="E43" s="13"/>
      <c r="F43" s="24"/>
      <c r="G43" s="24"/>
      <c r="H43" s="24"/>
      <c r="I43" s="24"/>
      <c r="J43" s="24"/>
      <c r="K43" s="28" t="str">
        <f aca="false">IF($B43="","",IFERROR(INDEX(Parametros!$C$8:$C$11,MATCH($C43,Parametros!$B$8:$B$11,0))*INDEX(Parametros!$C$15:$C$17,MATCH($D43,Parametros!$B$15:$B$17,0)),0)+$F43*Parametros!$C$38+$G43*Parametros!$C$39+$H43*Parametros!$C$40+IFERROR(INDEX(Parametros!$C$21:$C$25,MATCH($I43,Parametros!$B$21:$B$25,0)),0)+$J43*AVERAGE(Parametros!$C$29:$C$35)+IFERROR(INDEX(Parametros!$C$44:$C$47,MATCH(TRUE(),INDEX(Parametros!$B$44:$B$47&gt;=$E43,0),0)),0))</f>
        <v/>
      </c>
      <c r="L43" s="43" t="str">
        <f aca="false">IF($B43="","",K43*'Meu Escritorio'!$C$10)</f>
        <v/>
      </c>
      <c r="M43" s="43" t="str">
        <f aca="false">IF($B43="","",K43*'Meu Escritorio'!$C$11)</f>
        <v/>
      </c>
      <c r="N43" s="45"/>
      <c r="O43" s="35" t="str">
        <f aca="false">IF($B43="","",IF(N43&lt;=0,"Informe o valor cobrado",IF(N43&lt;L43,"ABAIXO DO PISO - prejuizo",IF(N43&lt;M43*0.92,"Margem comprimida",IF(N43&gt;M43*1.15,"Acima do recomendado","Adequado")))))</f>
        <v/>
      </c>
    </row>
    <row r="44" customFormat="false" ht="15" hidden="false" customHeight="false" outlineLevel="0" collapsed="false">
      <c r="B44" s="24"/>
      <c r="C44" s="24"/>
      <c r="D44" s="24"/>
      <c r="E44" s="13"/>
      <c r="F44" s="24"/>
      <c r="G44" s="24"/>
      <c r="H44" s="24"/>
      <c r="I44" s="24"/>
      <c r="J44" s="24"/>
      <c r="K44" s="28" t="str">
        <f aca="false">IF($B44="","",IFERROR(INDEX(Parametros!$C$8:$C$11,MATCH($C44,Parametros!$B$8:$B$11,0))*INDEX(Parametros!$C$15:$C$17,MATCH($D44,Parametros!$B$15:$B$17,0)),0)+$F44*Parametros!$C$38+$G44*Parametros!$C$39+$H44*Parametros!$C$40+IFERROR(INDEX(Parametros!$C$21:$C$25,MATCH($I44,Parametros!$B$21:$B$25,0)),0)+$J44*AVERAGE(Parametros!$C$29:$C$35)+IFERROR(INDEX(Parametros!$C$44:$C$47,MATCH(TRUE(),INDEX(Parametros!$B$44:$B$47&gt;=$E44,0),0)),0))</f>
        <v/>
      </c>
      <c r="L44" s="43" t="str">
        <f aca="false">IF($B44="","",K44*'Meu Escritorio'!$C$10)</f>
        <v/>
      </c>
      <c r="M44" s="43" t="str">
        <f aca="false">IF($B44="","",K44*'Meu Escritorio'!$C$11)</f>
        <v/>
      </c>
      <c r="N44" s="45"/>
      <c r="O44" s="35" t="str">
        <f aca="false">IF($B44="","",IF(N44&lt;=0,"Informe o valor cobrado",IF(N44&lt;L44,"ABAIXO DO PISO - prejuizo",IF(N44&lt;M44*0.92,"Margem comprimida",IF(N44&gt;M44*1.15,"Acima do recomendado","Adequado")))))</f>
        <v/>
      </c>
    </row>
    <row r="45" customFormat="false" ht="15" hidden="false" customHeight="false" outlineLevel="0" collapsed="false">
      <c r="B45" s="24"/>
      <c r="C45" s="24"/>
      <c r="D45" s="24"/>
      <c r="E45" s="13"/>
      <c r="F45" s="24"/>
      <c r="G45" s="24"/>
      <c r="H45" s="24"/>
      <c r="I45" s="24"/>
      <c r="J45" s="24"/>
      <c r="K45" s="28" t="str">
        <f aca="false">IF($B45="","",IFERROR(INDEX(Parametros!$C$8:$C$11,MATCH($C45,Parametros!$B$8:$B$11,0))*INDEX(Parametros!$C$15:$C$17,MATCH($D45,Parametros!$B$15:$B$17,0)),0)+$F45*Parametros!$C$38+$G45*Parametros!$C$39+$H45*Parametros!$C$40+IFERROR(INDEX(Parametros!$C$21:$C$25,MATCH($I45,Parametros!$B$21:$B$25,0)),0)+$J45*AVERAGE(Parametros!$C$29:$C$35)+IFERROR(INDEX(Parametros!$C$44:$C$47,MATCH(TRUE(),INDEX(Parametros!$B$44:$B$47&gt;=$E45,0),0)),0))</f>
        <v/>
      </c>
      <c r="L45" s="43" t="str">
        <f aca="false">IF($B45="","",K45*'Meu Escritorio'!$C$10)</f>
        <v/>
      </c>
      <c r="M45" s="43" t="str">
        <f aca="false">IF($B45="","",K45*'Meu Escritorio'!$C$11)</f>
        <v/>
      </c>
      <c r="N45" s="45"/>
      <c r="O45" s="35" t="str">
        <f aca="false">IF($B45="","",IF(N45&lt;=0,"Informe o valor cobrado",IF(N45&lt;L45,"ABAIXO DO PISO - prejuizo",IF(N45&lt;M45*0.92,"Margem comprimida",IF(N45&gt;M45*1.15,"Acima do recomendado","Adequado")))))</f>
        <v/>
      </c>
    </row>
    <row r="46" customFormat="false" ht="15" hidden="false" customHeight="false" outlineLevel="0" collapsed="false">
      <c r="B46" s="24"/>
      <c r="C46" s="24"/>
      <c r="D46" s="24"/>
      <c r="E46" s="13"/>
      <c r="F46" s="24"/>
      <c r="G46" s="24"/>
      <c r="H46" s="24"/>
      <c r="I46" s="24"/>
      <c r="J46" s="24"/>
      <c r="K46" s="28" t="str">
        <f aca="false">IF($B46="","",IFERROR(INDEX(Parametros!$C$8:$C$11,MATCH($C46,Parametros!$B$8:$B$11,0))*INDEX(Parametros!$C$15:$C$17,MATCH($D46,Parametros!$B$15:$B$17,0)),0)+$F46*Parametros!$C$38+$G46*Parametros!$C$39+$H46*Parametros!$C$40+IFERROR(INDEX(Parametros!$C$21:$C$25,MATCH($I46,Parametros!$B$21:$B$25,0)),0)+$J46*AVERAGE(Parametros!$C$29:$C$35)+IFERROR(INDEX(Parametros!$C$44:$C$47,MATCH(TRUE(),INDEX(Parametros!$B$44:$B$47&gt;=$E46,0),0)),0))</f>
        <v/>
      </c>
      <c r="L46" s="43" t="str">
        <f aca="false">IF($B46="","",K46*'Meu Escritorio'!$C$10)</f>
        <v/>
      </c>
      <c r="M46" s="43" t="str">
        <f aca="false">IF($B46="","",K46*'Meu Escritorio'!$C$11)</f>
        <v/>
      </c>
      <c r="N46" s="45"/>
      <c r="O46" s="35" t="str">
        <f aca="false">IF($B46="","",IF(N46&lt;=0,"Informe o valor cobrado",IF(N46&lt;L46,"ABAIXO DO PISO - prejuizo",IF(N46&lt;M46*0.92,"Margem comprimida",IF(N46&gt;M46*1.15,"Acima do recomendado","Adequado")))))</f>
        <v/>
      </c>
    </row>
    <row r="48" customFormat="false" ht="15" hidden="false" customHeight="false" outlineLevel="0" collapsed="false">
      <c r="B48" s="30" t="s">
        <v>189</v>
      </c>
      <c r="C48" s="46"/>
      <c r="D48" s="46"/>
      <c r="E48" s="46"/>
      <c r="F48" s="46"/>
      <c r="G48" s="46"/>
      <c r="H48" s="46"/>
      <c r="I48" s="46"/>
      <c r="J48" s="46"/>
      <c r="K48" s="31" t="n">
        <f aca="false">SUM(K7:K46)</f>
        <v>8.75</v>
      </c>
      <c r="L48" s="47" t="n">
        <f aca="false">SUM(L7:L46)</f>
        <v>765.625</v>
      </c>
      <c r="M48" s="47" t="n">
        <f aca="false">SUM(M7:M46)</f>
        <v>995.3125</v>
      </c>
      <c r="N48" s="47" t="n">
        <f aca="false">SUM(N7:N46)</f>
        <v>900</v>
      </c>
      <c r="O48" s="46"/>
    </row>
    <row r="50" customFormat="false" ht="19.5" hidden="false" customHeight="true" outlineLevel="0" collapsed="false">
      <c r="A50" s="3" t="s">
        <v>190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false" outlineLevel="0" collapsed="false">
      <c r="B51" s="40" t="s">
        <v>191</v>
      </c>
      <c r="C51" s="48" t="n">
        <f aca="false">COUNTIF(B7:B46,"?*")</f>
        <v>1</v>
      </c>
      <c r="E51" s="9" t="s">
        <v>192</v>
      </c>
    </row>
    <row r="52" customFormat="false" ht="15" hidden="false" customHeight="false" outlineLevel="0" collapsed="false">
      <c r="B52" s="40" t="s">
        <v>193</v>
      </c>
      <c r="C52" s="48" t="n">
        <f aca="false">COUNTIF(O7:O46,"ABAIXO DO PISO*")</f>
        <v>0</v>
      </c>
      <c r="E52" s="9" t="s">
        <v>194</v>
      </c>
    </row>
    <row r="53" customFormat="false" ht="15" hidden="false" customHeight="false" outlineLevel="0" collapsed="false">
      <c r="B53" s="40" t="s">
        <v>195</v>
      </c>
      <c r="C53" s="48" t="n">
        <f aca="false">COUNTIF(O7:O46,"Margem comprimida")</f>
        <v>1</v>
      </c>
    </row>
    <row r="54" customFormat="false" ht="15" hidden="false" customHeight="false" outlineLevel="0" collapsed="false">
      <c r="B54" s="40" t="s">
        <v>196</v>
      </c>
      <c r="C54" s="48" t="n">
        <f aca="false">COUNTIF(O7:O46,"Adequado")+COUNTIF(O7:O46,"Acima do recomendado")</f>
        <v>0</v>
      </c>
    </row>
    <row r="55" customFormat="false" ht="15" hidden="false" customHeight="false" outlineLevel="0" collapsed="false">
      <c r="B55" s="40" t="s">
        <v>197</v>
      </c>
      <c r="C55" s="21" t="n">
        <f aca="false">SUM(N7:N46)</f>
        <v>900</v>
      </c>
    </row>
    <row r="56" customFormat="false" ht="15" hidden="false" customHeight="false" outlineLevel="0" collapsed="false">
      <c r="B56" s="40" t="s">
        <v>198</v>
      </c>
      <c r="C56" s="21" t="n">
        <f aca="false">SUM(M7:M46)</f>
        <v>995.3125</v>
      </c>
    </row>
    <row r="57" customFormat="false" ht="15" hidden="false" customHeight="false" outlineLevel="0" collapsed="false">
      <c r="B57" s="40" t="s">
        <v>199</v>
      </c>
      <c r="C57" s="49" t="n">
        <f aca="false">N48-M48</f>
        <v>-95.3125</v>
      </c>
    </row>
    <row r="58" customFormat="false" ht="15" hidden="false" customHeight="false" outlineLevel="0" collapsed="false">
      <c r="B58" s="40" t="s">
        <v>200</v>
      </c>
      <c r="C58" s="49" t="n">
        <f aca="false">(N48-M48)*12</f>
        <v>-1143.75</v>
      </c>
    </row>
    <row r="59" customFormat="false" ht="15" hidden="false" customHeight="false" outlineLevel="0" collapsed="false">
      <c r="B59" s="40" t="s">
        <v>201</v>
      </c>
      <c r="C59" s="50" t="n">
        <f aca="false">IF('Meu Escritorio'!$C$6=0,0,K48/'Meu Escritorio'!$C$6)</f>
        <v>0.02734375</v>
      </c>
    </row>
    <row r="62" customFormat="false" ht="15" hidden="false" customHeight="false" outlineLevel="0" collapsed="false">
      <c r="B62" s="22" t="s">
        <v>123</v>
      </c>
    </row>
  </sheetData>
  <mergeCells count="4">
    <mergeCell ref="A1:N1"/>
    <mergeCell ref="A2:N2"/>
    <mergeCell ref="B4:N4"/>
    <mergeCell ref="A50:O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2026-07-18T09:34:29Z</dcterms:created>
  <dc:creator>openpyxl</dc:creator>
  <dc:description/>
  <dc:language>en-US</dc:language>
  <cp:lastModifiedBy/>
  <dcterms:modified xsi:type="dcterms:W3CDTF">2026-07-18T09:34:29Z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